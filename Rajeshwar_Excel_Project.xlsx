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8_{CDAF605E-4E0C-417D-8C69-4DC07FE8E7A0}" xr6:coauthVersionLast="47" xr6:coauthVersionMax="47" xr10:uidLastSave="{00000000-0000-0000-0000-000000000000}"/>
  <bookViews>
    <workbookView xWindow="-108" yWindow="-108" windowWidth="23256" windowHeight="12456" firstSheet="2" activeTab="8" xr2:uid="{ABF18290-3223-401B-98F2-AEB724018DB3}"/>
  </bookViews>
  <sheets>
    <sheet name="Biology" sheetId="1" r:id="rId1"/>
    <sheet name="Chemistry" sheetId="2" r:id="rId2"/>
    <sheet name="Mathematics" sheetId="3" r:id="rId3"/>
    <sheet name="Philosophy" sheetId="4" r:id="rId4"/>
    <sheet name="Physics" sheetId="5" r:id="rId5"/>
    <sheet name="Sociology" sheetId="6" r:id="rId6"/>
    <sheet name="Additional Details" sheetId="7" r:id="rId7"/>
    <sheet name="Strenght and weakness" sheetId="21" r:id="rId8"/>
    <sheet name="Project file" sheetId="10" r:id="rId9"/>
  </sheets>
  <definedNames>
    <definedName name="_xlnm._FilterDatabase" localSheetId="6" hidden="1">'Additional Details'!$A$1:$P$1</definedName>
    <definedName name="_xlchart.v1.0" hidden="1">'Strenght and weakness'!$A$4:$A$9</definedName>
    <definedName name="_xlchart.v1.1" hidden="1">'Strenght and weakness'!$B$4:$B$9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1" l="1"/>
  <c r="B8" i="21"/>
  <c r="B7" i="21"/>
  <c r="B6" i="21"/>
  <c r="B5" i="21"/>
  <c r="B4" i="21"/>
  <c r="S15" i="7"/>
  <c r="S14" i="7"/>
  <c r="S11" i="7"/>
  <c r="S10" i="7"/>
  <c r="B19" i="10"/>
  <c r="B18" i="10"/>
  <c r="B17" i="10"/>
  <c r="B16" i="10"/>
  <c r="B15" i="10"/>
  <c r="B14" i="10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20" i="10" l="1"/>
</calcChain>
</file>

<file path=xl/sharedStrings.xml><?xml version="1.0" encoding="utf-8"?>
<sst xmlns="http://schemas.openxmlformats.org/spreadsheetml/2006/main" count="713" uniqueCount="79">
  <si>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</si>
  <si>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</si>
  <si>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</si>
  <si>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</si>
  <si>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</si>
  <si>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</si>
  <si>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</si>
  <si>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</si>
  <si>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</si>
  <si>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</si>
  <si>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</si>
  <si>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</si>
  <si>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</si>
  <si>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</si>
  <si>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</si>
  <si>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</si>
  <si>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</si>
  <si>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</si>
  <si>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</si>
  <si>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</si>
  <si>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</si>
  <si>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</si>
  <si>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</si>
  <si>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</si>
  <si>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</si>
  <si>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</si>
  <si>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</si>
  <si>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</si>
  <si>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</si>
  <si>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</si>
  <si>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</si>
  <si>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</si>
  <si>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</si>
  <si>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</si>
  <si>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</si>
  <si>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</si>
  <si>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</si>
  <si>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</si>
  <si>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</si>
  <si>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</si>
  <si>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</si>
  <si>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</si>
  <si>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</si>
  <si>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</si>
  <si>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</si>
  <si>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</si>
  <si>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</si>
  <si>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</si>
  <si>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</si>
  <si>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</si>
  <si>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</si>
  <si>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</si>
  <si>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</si>
  <si>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</si>
  <si>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</si>
  <si>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</si>
  <si>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</si>
  <si>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</si>
  <si>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</si>
  <si>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</si>
  <si>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</si>
  <si>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</si>
  <si>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</si>
  <si>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</si>
  <si>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</si>
  <si>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</si>
  <si>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</si>
  <si>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</si>
  <si>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</si>
  <si>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</si>
  <si>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</si>
  <si>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Subject</t>
  </si>
  <si>
    <t>Marks</t>
  </si>
  <si>
    <t>Total</t>
  </si>
  <si>
    <t xml:space="preserve">Student Name: </t>
  </si>
  <si>
    <t>Final Report</t>
  </si>
  <si>
    <t>Average Absences</t>
  </si>
  <si>
    <t>Average Study time</t>
  </si>
  <si>
    <t>Study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</si>
</sst>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b/>
      <sz val="48"/>
      <color rgb="FFFF0000"/>
      <name val="Times New Roman"/>
      <family val="1"/>
    </font>
    <font>
      <sz val="36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0" fillId="2" borderId="0" xfId="0" applyFill="1"/>
    <xf numFmtId="0" fontId="0" fillId="2" borderId="2" xfId="0" applyFill="1" applyBorder="1"/>
    <xf numFmtId="0" fontId="4" fillId="0" borderId="0" xfId="0" applyFont="1"/>
    <xf numFmtId="1" fontId="4" fillId="0" borderId="0" xfId="0" applyNumberFormat="1" applyFont="1"/>
    <xf numFmtId="1" fontId="2" fillId="0" borderId="0" xfId="0" applyNumberFormat="1" applyFont="1"/>
    <xf numFmtId="0" fontId="0" fillId="3" borderId="4" xfId="0" applyFill="1" applyBorder="1"/>
    <xf numFmtId="0" fontId="0" fillId="0" borderId="4" xfId="0" applyBorder="1"/>
    <xf numFmtId="0" fontId="0" fillId="2" borderId="1" xfId="0" applyFill="1" applyBorder="1"/>
    <xf numFmtId="0" fontId="6" fillId="6" borderId="3" xfId="0" applyFont="1" applyFill="1" applyBorder="1"/>
    <xf numFmtId="0" fontId="5" fillId="7" borderId="12" xfId="0" applyFont="1" applyFill="1" applyBorder="1"/>
    <xf numFmtId="0" fontId="5" fillId="7" borderId="5" xfId="0" applyFont="1" applyFill="1" applyBorder="1"/>
    <xf numFmtId="0" fontId="5" fillId="7" borderId="9" xfId="0" applyFont="1" applyFill="1" applyBorder="1"/>
    <xf numFmtId="0" fontId="5" fillId="7" borderId="7" xfId="0" applyFont="1" applyFill="1" applyBorder="1"/>
    <xf numFmtId="0" fontId="5" fillId="4" borderId="10" xfId="0" applyFont="1" applyFill="1" applyBorder="1"/>
    <xf numFmtId="0" fontId="5" fillId="7" borderId="8" xfId="0" applyFont="1" applyFill="1" applyBorder="1"/>
    <xf numFmtId="0" fontId="5" fillId="7" borderId="6" xfId="0" applyFont="1" applyFill="1" applyBorder="1"/>
    <xf numFmtId="0" fontId="5" fillId="7" borderId="10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0" fillId="6" borderId="0" xfId="0" applyFill="1"/>
    <xf numFmtId="0" fontId="0" fillId="0" borderId="12" xfId="0" applyBorder="1"/>
    <xf numFmtId="0" fontId="7" fillId="7" borderId="1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</cellXfs>
  <cellStyles count="1">
    <cellStyle name="Normal" xfId="0" builtinId="0"/>
  </cellStyles>
  <dxfs count="2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colors>
    <mruColors>
      <color rgb="FF336600"/>
      <color rgb="FF669900"/>
      <color rgb="FFCC9900"/>
      <color rgb="FFA50021"/>
      <color rgb="FF800000"/>
      <color rgb="FFFF0000"/>
      <color rgb="FFFFD79B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</a:t>
            </a:r>
            <a:r>
              <a:rPr lang="en-US" sz="20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Marks</a:t>
            </a:r>
            <a:endPara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867758480087117"/>
          <c:y val="1.6041751801325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file'!$B$13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>
                <a:rot lat="0" lon="0" rev="11400000"/>
              </a:lightRig>
            </a:scene3d>
            <a:sp3d>
              <a:bevelT/>
              <a:bevelB w="8255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2-EFDD-4606-9DE0-FCEC810F58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3-EFDD-4606-9DE0-FCEC810F58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4-EFDD-4606-9DE0-FCEC810F58DA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5-EFDD-4606-9DE0-FCEC810F58DA}"/>
              </c:ext>
            </c:extLst>
          </c:dPt>
          <c:dPt>
            <c:idx val="4"/>
            <c:invertIfNegative val="0"/>
            <c:bubble3D val="0"/>
            <c:spPr>
              <a:solidFill>
                <a:srgbClr val="CC99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6-EFDD-4606-9DE0-FCEC810F58DA}"/>
              </c:ext>
            </c:extLst>
          </c:dPt>
          <c:dPt>
            <c:idx val="5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1400000"/>
                </a:lightRig>
              </a:scene3d>
              <a:sp3d>
                <a:bevelT/>
                <a:bevelB w="82550"/>
              </a:sp3d>
            </c:spPr>
            <c:extLst>
              <c:ext xmlns:c16="http://schemas.microsoft.com/office/drawing/2014/chart" uri="{C3380CC4-5D6E-409C-BE32-E72D297353CC}">
                <c16:uniqueId val="{00000007-EFDD-4606-9DE0-FCEC810F58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file'!$A$14:$A$19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'Project file'!$B$14:$B$19</c:f>
              <c:numCache>
                <c:formatCode>General</c:formatCode>
                <c:ptCount val="6"/>
                <c:pt idx="0">
                  <c:v>81</c:v>
                </c:pt>
                <c:pt idx="1">
                  <c:v>32</c:v>
                </c:pt>
                <c:pt idx="2">
                  <c:v>7</c:v>
                </c:pt>
                <c:pt idx="3">
                  <c:v>29</c:v>
                </c:pt>
                <c:pt idx="4">
                  <c:v>33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D-4606-9DE0-FCEC810F5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086948528"/>
        <c:axId val="1086947088"/>
      </c:barChart>
      <c:catAx>
        <c:axId val="1086948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6947088"/>
        <c:crosses val="autoZero"/>
        <c:auto val="1"/>
        <c:lblAlgn val="ctr"/>
        <c:lblOffset val="100"/>
        <c:noMultiLvlLbl val="0"/>
      </c:catAx>
      <c:valAx>
        <c:axId val="108694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4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526331935780763E-2"/>
          <c:y val="0.8720259304521587"/>
          <c:w val="0.89963955841397669"/>
          <c:h val="0.10318358872806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Absence Report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203200"/>
              <a:bevelB w="95250"/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203200"/>
                <a:bevelB w="95250"/>
              </a:sp3d>
            </c:spPr>
            <c:extLst>
              <c:ext xmlns:c16="http://schemas.microsoft.com/office/drawing/2014/chart" uri="{C3380CC4-5D6E-409C-BE32-E72D297353CC}">
                <c16:uniqueId val="{00000001-0BE4-49F8-B6B6-8B922BF1187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'Additional Details'!$R$10:$R$11</c:f>
              <c:strCache>
                <c:ptCount val="2"/>
                <c:pt idx="0">
                  <c:v>Absences</c:v>
                </c:pt>
                <c:pt idx="1">
                  <c:v>Average Absences</c:v>
                </c:pt>
              </c:strCache>
            </c:strRef>
          </c:cat>
          <c:val>
            <c:numRef>
              <c:f>'Additional Details'!$S$10:$S$11</c:f>
              <c:numCache>
                <c:formatCode>General</c:formatCode>
                <c:ptCount val="2"/>
                <c:pt idx="0">
                  <c:v>26</c:v>
                </c:pt>
                <c:pt idx="1">
                  <c:v>14.615384615384615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4-49F8-B6B6-8B922BF118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95687368"/>
        <c:axId val="595686288"/>
      </c:barChart>
      <c:catAx>
        <c:axId val="595687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686288"/>
        <c:crosses val="autoZero"/>
        <c:auto val="1"/>
        <c:lblAlgn val="ctr"/>
        <c:lblOffset val="100"/>
        <c:noMultiLvlLbl val="0"/>
      </c:catAx>
      <c:valAx>
        <c:axId val="5956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8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Individual Study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65100" h="63500"/>
              <a:bevelB w="0" h="0"/>
              <a:contourClr>
                <a:srgbClr val="000000"/>
              </a:contourClr>
            </a:sp3d>
          </c:spPr>
          <c:explosion val="30"/>
          <c:dPt>
            <c:idx val="0"/>
            <c:bubble3D val="0"/>
            <c:explosion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w="165100" h="63500"/>
                <a:bevelB w="0" h="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A1-4D62-9D23-2D220187C02D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 w="165100" h="63500"/>
                <a:bevelB w="0" h="0"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A1-4D62-9D23-2D220187C02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'Additional Details'!$R$14:$R$15</c:f>
              <c:strCache>
                <c:ptCount val="2"/>
                <c:pt idx="0">
                  <c:v>Average Study time</c:v>
                </c:pt>
                <c:pt idx="1">
                  <c:v>Study time</c:v>
                </c:pt>
              </c:strCache>
            </c:strRef>
          </c:cat>
          <c:val>
            <c:numRef>
              <c:f>'Additional Details'!$S$14:$S$15</c:f>
              <c:numCache>
                <c:formatCode>General</c:formatCode>
                <c:ptCount val="2"/>
                <c:pt idx="0">
                  <c:v>9.9480693951685026</c:v>
                </c:pt>
                <c:pt idx="1">
                  <c:v>4.2105697688122596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A1-4D62-9D23-2D220187C0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Individual Student Strength  and Weakness 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US" sz="18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8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Individual Student Strength  and Weakness </a:t>
          </a:r>
        </a:p>
      </cx:txPr>
    </cx:title>
    <cx:plotArea>
      <cx:plotAreaRegion>
        <cx:series layoutId="treemap" uniqueId="{30E4BD1E-6C9E-480A-BD14-04C53855FADF}">
          <cx:spPr>
            <a:effectLst>
              <a:glow>
                <a:schemeClr val="accent1"/>
              </a:glow>
            </a:effectLst>
          </cx:spPr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lang="en-US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n-US" sz="1400" b="1" i="0" u="none" strike="noStrike" kern="1200" baseline="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114299</xdr:colOff>
      <xdr:row>0</xdr:row>
      <xdr:rowOff>59531</xdr:rowOff>
    </xdr:from>
    <xdr:to>
      <xdr:col>11</xdr:col>
      <xdr:colOff>536360</xdr:colOff>
      <xdr:row>13</xdr:row>
      <xdr:rowOff>46238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586A2-64B0-5353-6393-4046DA5E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119339</xdr:colOff>
      <xdr:row>13</xdr:row>
      <xdr:rowOff>83228</xdr:rowOff>
    </xdr:from>
    <xdr:to>
      <xdr:col>11</xdr:col>
      <xdr:colOff>527113</xdr:colOff>
      <xdr:row>29</xdr:row>
      <xdr:rowOff>92477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C9EBCDA-3DA7-A4E4-F209-6F441D0A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573348</xdr:colOff>
      <xdr:row>0</xdr:row>
      <xdr:rowOff>85170</xdr:rowOff>
    </xdr:from>
    <xdr:to>
      <xdr:col>20</xdr:col>
      <xdr:colOff>305168</xdr:colOff>
      <xdr:row>13</xdr:row>
      <xdr:rowOff>36990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6F01CFB-8222-E560-4162-98B6517C5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582599</xdr:colOff>
      <xdr:row>13</xdr:row>
      <xdr:rowOff>101724</xdr:rowOff>
    </xdr:from>
    <xdr:to>
      <xdr:col>20</xdr:col>
      <xdr:colOff>349930</xdr:colOff>
      <xdr:row>29</xdr:row>
      <xdr:rowOff>92476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1">
              <a:extLst>
                <a:ext uri="{FF2B5EF4-FFF2-40B4-BE49-F238E27FC236}">
                  <a16:creationId xmlns:a16="http://schemas.microsoft.com/office/drawing/2014/main" id="{42224F0C-9FDF-795F-41FF-D827DF2464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119" y="3355464"/>
              <a:ext cx="5390891" cy="35645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0.02813</cdr:x>
      <cdr:y>0.3316</cdr:y>
    </cdr:from>
    <cdr:to>
      <cdr:x>0.08854</cdr:x>
      <cdr:y>0.38368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C5EED3E-D9FB-25C2-FDE7-DD9E35D4FDFD}"/>
            </a:ext>
          </a:extLst>
        </cdr:cNvPr>
        <cdr:cNvSpPr txBox="1"/>
      </cdr:nvSpPr>
      <cdr:spPr>
        <a:xfrm xmlns:a="http://schemas.openxmlformats.org/drawingml/2006/main">
          <a:off x="128588" y="909638"/>
          <a:ext cx="276225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7A2329-0F44-427F-9433-780BAACE440F}" name="Table2" displayName="Table2" ref="A1:F39" totalsRowShown="0" headerRowDxfId="24">
  <autoFilter ref="A1:F39" xr:uid="{647A2329-0F44-427F-9433-780BAACE440F}"/>
  <tableColumns count="6">
    <tableColumn id="1" xr3:uid="{706622DB-9229-410A-B2D8-37B7B5DEECB7}" name="StudentID"/>
    <tableColumn id="2" xr3:uid="{4EE3ACCA-286F-4D15-A956-912872F908A3}" name="Student name"/>
    <tableColumn id="3" xr3:uid="{4F57C00B-99A9-4623-BC14-2F0A17D7E07C}" name="Exam name"/>
    <tableColumn id="4" xr3:uid="{343F983B-04AA-4E97-A3B6-DD145F091CAC}" name="Exam date"/>
    <tableColumn id="5" xr3:uid="{6276BF48-A13D-4184-AF76-648C1B6F73CB}" name="Exam points" dataDxfId="23"/>
    <tableColumn id="6" xr3:uid="{031654B7-3EC7-4111-A863-884EA6FDEF90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5EFC24-FEB5-4F5E-95D7-BF0617E635BB}" name="Table3" displayName="Table3" ref="A1:F28" totalsRowShown="0" headerRowDxfId="22">
  <autoFilter ref="A1:F28" xr:uid="{B65EFC24-FEB5-4F5E-95D7-BF0617E635BB}"/>
  <tableColumns count="6">
    <tableColumn id="1" xr3:uid="{83073F0E-7AA0-4FD5-8B4D-F100AE1D903D}" name="StudentID"/>
    <tableColumn id="2" xr3:uid="{3FA93FF6-669C-4082-8867-6420C453E733}" name="Student name"/>
    <tableColumn id="3" xr3:uid="{59A89C78-FD70-47C2-99C5-BA2FC0B6B8E8}" name="Exam name"/>
    <tableColumn id="4" xr3:uid="{B362EF59-BB59-4F7B-AA3B-13ED9ED1331A}" name="Exam date"/>
    <tableColumn id="5" xr3:uid="{C68441FD-4B76-4F6A-80EF-AFD6D219DCE5}" name="Exam points" dataDxfId="21"/>
    <tableColumn id="6" xr3:uid="{AECC416C-35D5-4FA5-BB61-6D7256C31348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E69A2A-1674-4BA7-AA22-5808E92C4BD5}" name="Table4" displayName="Table4" ref="A1:F38" totalsRowShown="0" headerRowCellStyle="Normal" dataCellStyle="Normal">
  <autoFilter ref="A1:F38" xr:uid="{88E69A2A-1674-4BA7-AA22-5808E92C4BD5}"/>
  <tableColumns count="6">
    <tableColumn id="1" xr3:uid="{44D83605-AA71-4924-8ABC-48AAC2CD7621}" name="StudentID" dataCellStyle="Normal"/>
    <tableColumn id="2" xr3:uid="{DD6C8F48-929E-4B2D-B056-6929F12ED775}" name="Student name" dataCellStyle="Normal"/>
    <tableColumn id="3" xr3:uid="{55D0F66F-0434-4F44-BF14-1F28BF75A79D}" name="Exam name" dataCellStyle="Normal"/>
    <tableColumn id="4" xr3:uid="{BD74000E-D560-49D2-A906-43C31B90920C}" name="Exam date" dataCellStyle="Normal"/>
    <tableColumn id="5" xr3:uid="{FB0CEA6E-CEFC-4DA8-9FB9-423E25C352C2}" name="Exam points" dataCellStyle="Normal"/>
    <tableColumn id="6" xr3:uid="{3C4FD344-C890-41FC-BEDB-AA6825C18535}" name="Strengths/weakness" dataCellStyle="Normal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C56544-3D3A-4FBC-BD59-FF3B543F9324}" name="Table5" displayName="Table5" ref="A1:F39" totalsRowShown="0" headerRowDxfId="20">
  <autoFilter ref="A1:F39" xr:uid="{E9C56544-3D3A-4FBC-BD59-FF3B543F9324}"/>
  <tableColumns count="6">
    <tableColumn id="1" xr3:uid="{C1242174-B5D3-49B5-8F07-BA6760C2E5BB}" name="StudentID"/>
    <tableColumn id="2" xr3:uid="{A11E0704-25A8-4C77-884C-DD637F1DAE8D}" name="Student name"/>
    <tableColumn id="3" xr3:uid="{E16EEA46-71D8-41BE-BEDD-D0A53C9CB2AF}" name="Exam name"/>
    <tableColumn id="4" xr3:uid="{DB798FE5-8692-4DFC-8B04-BD6149B53479}" name="Exam date"/>
    <tableColumn id="5" xr3:uid="{35DEF47A-FB09-4026-B28F-5B40E5302920}" name="Exam points" dataDxfId="19"/>
    <tableColumn id="6" xr3:uid="{0270DA74-90B0-458D-ACF3-43A8D2757894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59836-1FA8-4910-8458-048550886594}" name="Table6" displayName="Table6" ref="A1:F22" totalsRowShown="0" headerRowDxfId="18">
  <autoFilter ref="A1:F22" xr:uid="{DAF59836-1FA8-4910-8458-048550886594}"/>
  <tableColumns count="6">
    <tableColumn id="1" xr3:uid="{B264DF43-637F-4896-AA83-2C8BC2F575B2}" name="StudentID"/>
    <tableColumn id="2" xr3:uid="{B6544694-609D-4A3F-B160-DCBFDDFA8895}" name="Student name"/>
    <tableColumn id="3" xr3:uid="{5A36DA3B-989C-4C78-903E-FD6B3C034A0A}" name="Exam name"/>
    <tableColumn id="4" xr3:uid="{718A6032-0C2B-4642-9C0F-62714B34295A}" name="Exam date"/>
    <tableColumn id="5" xr3:uid="{89D1CF3E-41BD-40DC-83EE-2CEBB67FBDD0}" name="Exam points" dataDxfId="17"/>
    <tableColumn id="6" xr3:uid="{D735A4C7-EBBD-45F6-898A-92EF53E426E0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C31401-71A1-453B-84DE-B277C31D5A57}" name="Table7" displayName="Table7" ref="A1:F40" totalsRowShown="0" headerRowDxfId="16">
  <autoFilter ref="A1:F40" xr:uid="{6FC31401-71A1-453B-84DE-B277C31D5A57}"/>
  <tableColumns count="6">
    <tableColumn id="1" xr3:uid="{09655AD1-F67E-4D19-9533-F8711F87244F}" name="StudentID"/>
    <tableColumn id="2" xr3:uid="{4559225F-2777-41A9-85D8-EBDC7B027FDE}" name="Student name"/>
    <tableColumn id="3" xr3:uid="{5BF4F9A9-038B-4DBB-BCAE-DF43BEFA5525}" name="Exam name"/>
    <tableColumn id="4" xr3:uid="{5824C55D-F000-4AAC-88FC-0E8EC30BBA18}" name="Exam date"/>
    <tableColumn id="5" xr3:uid="{3BA8EC08-DBAA-4D39-B850-4D23E0EDE313}" name="Exam points" dataDxfId="15"/>
    <tableColumn id="6" xr3:uid="{4236BE1F-086B-4051-AEF5-6115D64464C2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C0F9-17A7-4072-8828-2352B3E045DE}" name="Table1" displayName="Table1" ref="A1:P40" totalsRowShown="0" headerRowDxfId="14">
  <autoFilter ref="A1:P40" xr:uid="{6774C0F9-17A7-4072-8828-2352B3E045DE}"/>
  <tableColumns count="16">
    <tableColumn id="1" xr3:uid="{F85172BC-8E35-4147-B072-B661EAB2B120}" name="Student name"/>
    <tableColumn id="2" xr3:uid="{4EE13A0F-DAD9-442A-8B50-613C5A028C71}" name="StudentID"/>
    <tableColumn id="3" xr3:uid="{CD4EB14C-2D42-4397-AC11-CC54B3C35B12}" name="Age" dataDxfId="13"/>
    <tableColumn id="4" xr3:uid="{454C2421-AE4A-444E-AAA4-174F0C13EAB9}" name="Gender" dataDxfId="12"/>
    <tableColumn id="5" xr3:uid="{DF73836F-52EB-431B-AE6B-8F18C977F47D}" name="Ethnicity" dataDxfId="11"/>
    <tableColumn id="6" xr3:uid="{153046DD-3DE9-4D62-9C42-411D331F522A}" name="ParentalEducation" dataDxfId="10"/>
    <tableColumn id="7" xr3:uid="{0CCC32CB-4DF5-4B9D-A2BA-A6D8F4190577}" name="StudyTimeWeekly" dataDxfId="9"/>
    <tableColumn id="8" xr3:uid="{EFC03C9C-3351-416B-B368-414441FD81CE}" name="Absences" dataDxfId="8"/>
    <tableColumn id="9" xr3:uid="{422619A8-59F2-4FC1-A1F6-89F60762FD93}" name="Tutoring" dataDxfId="7"/>
    <tableColumn id="10" xr3:uid="{4FFF3196-5700-462C-8D97-2A7ECBD47A20}" name="ParentalSupport" dataDxfId="6"/>
    <tableColumn id="11" xr3:uid="{E7DE179F-9F6B-4097-B793-9B03B5B80A0B}" name="Extracurricular" dataDxfId="5"/>
    <tableColumn id="12" xr3:uid="{B729E7B1-92D7-48D2-9BC6-D1C19429FC82}" name="Sports" dataDxfId="4"/>
    <tableColumn id="13" xr3:uid="{8EB0D247-D05D-4D02-B36C-9D67BD7C06A4}" name="Music" dataDxfId="3"/>
    <tableColumn id="14" xr3:uid="{A8514DE8-BD51-461F-87B0-772E0129B848}" name="Volunteering" dataDxfId="2"/>
    <tableColumn id="15" xr3:uid="{4C83F40A-540B-4448-B41C-6CB2652B1C72}" name="GPA" dataDxfId="1"/>
    <tableColumn id="16" xr3:uid="{551FCE66-DA45-42FD-8B1F-A34F3AEE81AB}" name="GradeCla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4BC-DB21-45D0-B0D6-D3202CDB2BA8}">
  <dimension ref="A1:F39"/>
  <sheetViews>
    <sheetView topLeftCell="A4" workbookViewId="0">
      <selection activeCell="C32" sqref="C32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3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3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3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3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C5E-7E4E-4202-843B-3372A88CC9B4}">
  <dimension ref="A1:F28"/>
  <sheetViews>
    <sheetView workbookViewId="0">
      <selection activeCell="C27" sqref="C27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46</v>
      </c>
      <c r="D2" t="s">
        <v>47</v>
      </c>
      <c r="E2" s="3">
        <v>52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46</v>
      </c>
      <c r="D3" t="s">
        <v>47</v>
      </c>
      <c r="E3" s="3">
        <v>20</v>
      </c>
      <c r="F3">
        <f t="shared" ref="F3:F28" si="0">IF(E3&gt;=60,1,0)</f>
        <v>0</v>
      </c>
    </row>
    <row r="4" spans="1:6" x14ac:dyDescent="0.3">
      <c r="A4">
        <v>1003</v>
      </c>
      <c r="B4" t="s">
        <v>10</v>
      </c>
      <c r="C4" t="s">
        <v>46</v>
      </c>
      <c r="D4" t="s">
        <v>47</v>
      </c>
      <c r="E4" s="3">
        <v>32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46</v>
      </c>
      <c r="D5" t="s">
        <v>47</v>
      </c>
      <c r="E5" s="3">
        <v>19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46</v>
      </c>
      <c r="D6" t="s">
        <v>47</v>
      </c>
      <c r="E6" s="3">
        <v>61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46</v>
      </c>
      <c r="D7" t="s">
        <v>47</v>
      </c>
      <c r="E7" s="3">
        <v>34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46</v>
      </c>
      <c r="D8" t="s">
        <v>47</v>
      </c>
      <c r="E8" s="3">
        <v>9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46</v>
      </c>
      <c r="D9" t="s">
        <v>47</v>
      </c>
      <c r="E9" s="3">
        <v>22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46</v>
      </c>
      <c r="D10" t="s">
        <v>47</v>
      </c>
      <c r="E10" s="3">
        <v>46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46</v>
      </c>
      <c r="D11" t="s">
        <v>47</v>
      </c>
      <c r="E11" s="3">
        <v>100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46</v>
      </c>
      <c r="D12" t="s">
        <v>47</v>
      </c>
      <c r="E12" s="3">
        <v>92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46</v>
      </c>
      <c r="D13" t="s">
        <v>47</v>
      </c>
      <c r="E13" s="3">
        <v>1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46</v>
      </c>
      <c r="D14" t="s">
        <v>47</v>
      </c>
      <c r="E14" s="3">
        <v>84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46</v>
      </c>
      <c r="D15" t="s">
        <v>47</v>
      </c>
      <c r="E15" s="3">
        <v>63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46</v>
      </c>
      <c r="D16" t="s">
        <v>47</v>
      </c>
      <c r="E16" s="3">
        <v>59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46</v>
      </c>
      <c r="D17" t="s">
        <v>47</v>
      </c>
      <c r="E17" s="3">
        <v>61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46</v>
      </c>
      <c r="D18" t="s">
        <v>47</v>
      </c>
      <c r="E18" s="3">
        <v>47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46</v>
      </c>
      <c r="D19" t="s">
        <v>47</v>
      </c>
      <c r="E19" s="3">
        <v>27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46</v>
      </c>
      <c r="D20" t="s">
        <v>47</v>
      </c>
      <c r="E20" s="3">
        <v>99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46</v>
      </c>
      <c r="D21" t="s">
        <v>47</v>
      </c>
      <c r="E21" s="3">
        <v>84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46</v>
      </c>
      <c r="D22" t="s">
        <v>47</v>
      </c>
      <c r="E22" s="3">
        <v>95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46</v>
      </c>
      <c r="D23" t="s">
        <v>47</v>
      </c>
      <c r="E23" s="3">
        <v>50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46</v>
      </c>
      <c r="D24" t="s">
        <v>47</v>
      </c>
      <c r="E24" s="3">
        <v>27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46</v>
      </c>
      <c r="D25" t="s">
        <v>47</v>
      </c>
      <c r="E25" s="3">
        <v>39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46</v>
      </c>
      <c r="D26" t="s">
        <v>47</v>
      </c>
      <c r="E26" s="3">
        <v>71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46</v>
      </c>
      <c r="D27" t="s">
        <v>47</v>
      </c>
      <c r="E27" s="3">
        <v>83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46</v>
      </c>
      <c r="D28" t="s">
        <v>47</v>
      </c>
      <c r="E28" s="3">
        <v>38</v>
      </c>
      <c r="F28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7BF-BA4A-4BAA-BD22-9359768BF970}">
  <dimension ref="A1:F38"/>
  <sheetViews>
    <sheetView workbookViewId="0">
      <selection activeCell="C27" sqref="C27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48</v>
      </c>
      <c r="D2" t="s">
        <v>49</v>
      </c>
      <c r="E2">
        <v>48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48</v>
      </c>
      <c r="D3" t="s">
        <v>49</v>
      </c>
      <c r="E3">
        <v>5</v>
      </c>
      <c r="F3">
        <f t="shared" ref="F3:F38" si="0">IF(E3&gt;=60,1,0)</f>
        <v>0</v>
      </c>
    </row>
    <row r="4" spans="1:6" x14ac:dyDescent="0.3">
      <c r="A4">
        <v>1003</v>
      </c>
      <c r="B4" t="s">
        <v>10</v>
      </c>
      <c r="C4" t="s">
        <v>48</v>
      </c>
      <c r="D4" t="s">
        <v>49</v>
      </c>
      <c r="E4">
        <v>7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48</v>
      </c>
      <c r="D5" t="s">
        <v>49</v>
      </c>
      <c r="E5">
        <v>70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48</v>
      </c>
      <c r="D6" t="s">
        <v>49</v>
      </c>
      <c r="E6">
        <v>73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48</v>
      </c>
      <c r="D7" t="s">
        <v>49</v>
      </c>
      <c r="E7">
        <v>59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48</v>
      </c>
      <c r="D8" t="s">
        <v>49</v>
      </c>
      <c r="E8">
        <v>23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48</v>
      </c>
      <c r="D9" t="s">
        <v>49</v>
      </c>
      <c r="E9">
        <v>72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48</v>
      </c>
      <c r="D10" t="s">
        <v>49</v>
      </c>
      <c r="E10">
        <v>31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48</v>
      </c>
      <c r="D11" t="s">
        <v>49</v>
      </c>
      <c r="E11">
        <v>74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48</v>
      </c>
      <c r="D12" t="s">
        <v>49</v>
      </c>
      <c r="E12">
        <v>91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48</v>
      </c>
      <c r="D13" t="s">
        <v>49</v>
      </c>
      <c r="E13">
        <v>53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48</v>
      </c>
      <c r="D14" t="s">
        <v>49</v>
      </c>
      <c r="E14">
        <v>56</v>
      </c>
      <c r="F14">
        <f t="shared" si="0"/>
        <v>0</v>
      </c>
    </row>
    <row r="15" spans="1:6" x14ac:dyDescent="0.3">
      <c r="A15">
        <v>1014</v>
      </c>
      <c r="B15" t="s">
        <v>21</v>
      </c>
      <c r="C15" t="s">
        <v>48</v>
      </c>
      <c r="D15" t="s">
        <v>49</v>
      </c>
      <c r="E15">
        <v>53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48</v>
      </c>
      <c r="D16" t="s">
        <v>49</v>
      </c>
      <c r="E16">
        <v>100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48</v>
      </c>
      <c r="D17" t="s">
        <v>49</v>
      </c>
      <c r="E17">
        <v>50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48</v>
      </c>
      <c r="D18" t="s">
        <v>49</v>
      </c>
      <c r="E18">
        <v>60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48</v>
      </c>
      <c r="D19" t="s">
        <v>49</v>
      </c>
      <c r="E19">
        <v>38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48</v>
      </c>
      <c r="D20" t="s">
        <v>49</v>
      </c>
      <c r="E20">
        <v>33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48</v>
      </c>
      <c r="D21" t="s">
        <v>49</v>
      </c>
      <c r="E21">
        <v>75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48</v>
      </c>
      <c r="D22" t="s">
        <v>49</v>
      </c>
      <c r="E22">
        <v>74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48</v>
      </c>
      <c r="D23" t="s">
        <v>49</v>
      </c>
      <c r="E23">
        <v>7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48</v>
      </c>
      <c r="D24" t="s">
        <v>49</v>
      </c>
      <c r="E24">
        <v>6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48</v>
      </c>
      <c r="D25" t="s">
        <v>49</v>
      </c>
      <c r="E25">
        <v>40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48</v>
      </c>
      <c r="D26" t="s">
        <v>49</v>
      </c>
      <c r="E26">
        <v>14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48</v>
      </c>
      <c r="D27" t="s">
        <v>49</v>
      </c>
      <c r="E27">
        <v>16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48</v>
      </c>
      <c r="D28" t="s">
        <v>49</v>
      </c>
      <c r="E28">
        <v>31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48</v>
      </c>
      <c r="D29" t="s">
        <v>49</v>
      </c>
      <c r="E29">
        <v>72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48</v>
      </c>
      <c r="D30" t="s">
        <v>49</v>
      </c>
      <c r="E30">
        <v>48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48</v>
      </c>
      <c r="D31" t="s">
        <v>49</v>
      </c>
      <c r="E31">
        <v>53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48</v>
      </c>
      <c r="D32" t="s">
        <v>49</v>
      </c>
      <c r="E32">
        <v>67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48</v>
      </c>
      <c r="D33" t="s">
        <v>49</v>
      </c>
      <c r="E33">
        <v>23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48</v>
      </c>
      <c r="D34" t="s">
        <v>49</v>
      </c>
      <c r="E34">
        <v>90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48</v>
      </c>
      <c r="D35" t="s">
        <v>49</v>
      </c>
      <c r="E35">
        <v>87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48</v>
      </c>
      <c r="D36" t="s">
        <v>49</v>
      </c>
      <c r="E36">
        <v>40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48</v>
      </c>
      <c r="D37" t="s">
        <v>49</v>
      </c>
      <c r="E37">
        <v>26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48</v>
      </c>
      <c r="D38" t="s">
        <v>49</v>
      </c>
      <c r="E38">
        <v>51</v>
      </c>
      <c r="F38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A32-5843-4589-B601-632689CECE57}">
  <dimension ref="A1:F39"/>
  <sheetViews>
    <sheetView workbookViewId="0">
      <selection activeCell="C27" sqref="C27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50</v>
      </c>
      <c r="D2" t="s">
        <v>51</v>
      </c>
      <c r="E2" s="3">
        <v>35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50</v>
      </c>
      <c r="D3" t="s">
        <v>51</v>
      </c>
      <c r="E3" s="3">
        <v>66</v>
      </c>
      <c r="F3">
        <f t="shared" ref="F3:F39" si="0">IF(E3&gt;=60,1,0)</f>
        <v>1</v>
      </c>
    </row>
    <row r="4" spans="1:6" x14ac:dyDescent="0.3">
      <c r="A4">
        <v>1003</v>
      </c>
      <c r="B4" t="s">
        <v>10</v>
      </c>
      <c r="C4" t="s">
        <v>50</v>
      </c>
      <c r="D4" t="s">
        <v>51</v>
      </c>
      <c r="E4" s="3">
        <v>29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50</v>
      </c>
      <c r="D5" t="s">
        <v>51</v>
      </c>
      <c r="E5" s="3">
        <v>91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50</v>
      </c>
      <c r="D6" t="s">
        <v>51</v>
      </c>
      <c r="E6" s="3">
        <v>63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50</v>
      </c>
      <c r="D7" t="s">
        <v>51</v>
      </c>
      <c r="E7" s="3">
        <v>16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50</v>
      </c>
      <c r="D8" t="s">
        <v>51</v>
      </c>
      <c r="E8" s="3">
        <v>10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50</v>
      </c>
      <c r="D9" t="s">
        <v>51</v>
      </c>
      <c r="E9" s="3">
        <v>23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50</v>
      </c>
      <c r="D10" t="s">
        <v>51</v>
      </c>
      <c r="E10" s="3">
        <v>72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50</v>
      </c>
      <c r="D11" t="s">
        <v>51</v>
      </c>
      <c r="E11" s="3">
        <v>93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50</v>
      </c>
      <c r="D12" t="s">
        <v>51</v>
      </c>
      <c r="E12" s="3">
        <v>10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50</v>
      </c>
      <c r="D13" t="s">
        <v>51</v>
      </c>
      <c r="E13" s="3">
        <v>99</v>
      </c>
      <c r="F13">
        <f t="shared" si="0"/>
        <v>1</v>
      </c>
    </row>
    <row r="14" spans="1:6" x14ac:dyDescent="0.3">
      <c r="A14">
        <v>1013</v>
      </c>
      <c r="B14" t="s">
        <v>20</v>
      </c>
      <c r="C14" t="s">
        <v>50</v>
      </c>
      <c r="D14" t="s">
        <v>51</v>
      </c>
      <c r="E14" s="3">
        <v>78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50</v>
      </c>
      <c r="D15" t="s">
        <v>51</v>
      </c>
      <c r="E15" s="3">
        <v>81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50</v>
      </c>
      <c r="D16" t="s">
        <v>51</v>
      </c>
      <c r="E16" s="3">
        <v>40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50</v>
      </c>
      <c r="D17" t="s">
        <v>51</v>
      </c>
      <c r="E17" s="3">
        <v>23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50</v>
      </c>
      <c r="D18" t="s">
        <v>51</v>
      </c>
      <c r="E18" s="3">
        <v>65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50</v>
      </c>
      <c r="D19" t="s">
        <v>51</v>
      </c>
      <c r="E19" s="3">
        <v>24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50</v>
      </c>
      <c r="D20" t="s">
        <v>51</v>
      </c>
      <c r="E20" s="3">
        <v>62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50</v>
      </c>
      <c r="D21" t="s">
        <v>51</v>
      </c>
      <c r="E21" s="3">
        <v>41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50</v>
      </c>
      <c r="D22" t="s">
        <v>51</v>
      </c>
      <c r="E22" s="3">
        <v>42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50</v>
      </c>
      <c r="D23" t="s">
        <v>51</v>
      </c>
      <c r="E23" s="3">
        <v>8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50</v>
      </c>
      <c r="D24" t="s">
        <v>51</v>
      </c>
      <c r="E24" s="3">
        <v>91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50</v>
      </c>
      <c r="D25" t="s">
        <v>51</v>
      </c>
      <c r="E25" s="3">
        <v>69</v>
      </c>
      <c r="F25">
        <f t="shared" si="0"/>
        <v>1</v>
      </c>
    </row>
    <row r="26" spans="1:6" x14ac:dyDescent="0.3">
      <c r="A26">
        <v>1025</v>
      </c>
      <c r="B26" t="s">
        <v>32</v>
      </c>
      <c r="C26" t="s">
        <v>50</v>
      </c>
      <c r="D26" t="s">
        <v>51</v>
      </c>
      <c r="E26" s="3">
        <v>47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50</v>
      </c>
      <c r="D27" t="s">
        <v>51</v>
      </c>
      <c r="E27" s="3">
        <v>0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50</v>
      </c>
      <c r="D28" t="s">
        <v>51</v>
      </c>
      <c r="E28" s="3">
        <v>42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50</v>
      </c>
      <c r="D29" t="s">
        <v>51</v>
      </c>
      <c r="E29" s="3">
        <v>65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50</v>
      </c>
      <c r="D30" t="s">
        <v>51</v>
      </c>
      <c r="E30" s="3">
        <v>42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50</v>
      </c>
      <c r="D31" t="s">
        <v>51</v>
      </c>
      <c r="E31" s="3">
        <v>32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50</v>
      </c>
      <c r="D32" t="s">
        <v>51</v>
      </c>
      <c r="E32" s="3">
        <v>33</v>
      </c>
      <c r="F32">
        <f t="shared" si="0"/>
        <v>0</v>
      </c>
    </row>
    <row r="33" spans="1:6" x14ac:dyDescent="0.3">
      <c r="A33">
        <v>1032</v>
      </c>
      <c r="B33" t="s">
        <v>39</v>
      </c>
      <c r="C33" t="s">
        <v>50</v>
      </c>
      <c r="D33" t="s">
        <v>51</v>
      </c>
      <c r="E33" s="3">
        <v>4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50</v>
      </c>
      <c r="D34" t="s">
        <v>51</v>
      </c>
      <c r="E34" s="3">
        <v>27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50</v>
      </c>
      <c r="D35" t="s">
        <v>51</v>
      </c>
      <c r="E35" s="3">
        <v>56</v>
      </c>
      <c r="F35">
        <f t="shared" si="0"/>
        <v>0</v>
      </c>
    </row>
    <row r="36" spans="1:6" x14ac:dyDescent="0.3">
      <c r="A36">
        <v>1035</v>
      </c>
      <c r="B36" t="s">
        <v>42</v>
      </c>
      <c r="C36" t="s">
        <v>50</v>
      </c>
      <c r="D36" t="s">
        <v>51</v>
      </c>
      <c r="E36" s="3">
        <v>36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50</v>
      </c>
      <c r="D37" t="s">
        <v>51</v>
      </c>
      <c r="E37" s="3">
        <v>51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50</v>
      </c>
      <c r="D38" t="s">
        <v>51</v>
      </c>
      <c r="E38" s="3">
        <v>71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50</v>
      </c>
      <c r="D39" t="s">
        <v>51</v>
      </c>
      <c r="E39" s="3">
        <v>52</v>
      </c>
      <c r="F3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27-D765-4D83-A9A0-B4FAF960D4E0}">
  <dimension ref="A1:F22"/>
  <sheetViews>
    <sheetView workbookViewId="0">
      <selection activeCell="C19" sqref="C19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52</v>
      </c>
      <c r="D2" t="s">
        <v>53</v>
      </c>
      <c r="E2" s="3">
        <v>69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52</v>
      </c>
      <c r="D3" t="s">
        <v>53</v>
      </c>
      <c r="E3" s="3">
        <v>95</v>
      </c>
      <c r="F3">
        <f t="shared" ref="F3:F22" si="0">IF(E3&gt;=60,1,0)</f>
        <v>1</v>
      </c>
    </row>
    <row r="4" spans="1:6" x14ac:dyDescent="0.3">
      <c r="A4">
        <v>1003</v>
      </c>
      <c r="B4" t="s">
        <v>10</v>
      </c>
      <c r="C4" t="s">
        <v>52</v>
      </c>
      <c r="D4" t="s">
        <v>53</v>
      </c>
      <c r="E4" s="3">
        <v>33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52</v>
      </c>
      <c r="D5" t="s">
        <v>53</v>
      </c>
      <c r="E5" s="3">
        <v>76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52</v>
      </c>
      <c r="D6" t="s">
        <v>53</v>
      </c>
      <c r="E6" s="3">
        <v>20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52</v>
      </c>
      <c r="D7" t="s">
        <v>53</v>
      </c>
      <c r="E7" s="3">
        <v>10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52</v>
      </c>
      <c r="D8" t="s">
        <v>53</v>
      </c>
      <c r="E8" s="3">
        <v>72</v>
      </c>
      <c r="F8">
        <f t="shared" si="0"/>
        <v>1</v>
      </c>
    </row>
    <row r="9" spans="1:6" x14ac:dyDescent="0.3">
      <c r="A9">
        <v>1008</v>
      </c>
      <c r="B9" t="s">
        <v>15</v>
      </c>
      <c r="C9" t="s">
        <v>52</v>
      </c>
      <c r="D9" t="s">
        <v>53</v>
      </c>
      <c r="E9" s="3">
        <v>80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52</v>
      </c>
      <c r="D10" t="s">
        <v>53</v>
      </c>
      <c r="E10" s="3">
        <v>22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52</v>
      </c>
      <c r="D11" t="s">
        <v>53</v>
      </c>
      <c r="E11" s="3">
        <v>8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52</v>
      </c>
      <c r="D12" t="s">
        <v>53</v>
      </c>
      <c r="E12" s="3">
        <v>100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52</v>
      </c>
      <c r="D13" t="s">
        <v>53</v>
      </c>
      <c r="E13" s="3">
        <v>49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52</v>
      </c>
      <c r="D14" t="s">
        <v>53</v>
      </c>
      <c r="E14" s="3">
        <v>70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52</v>
      </c>
      <c r="D15" t="s">
        <v>53</v>
      </c>
      <c r="E15" s="3">
        <v>86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52</v>
      </c>
      <c r="D16" t="s">
        <v>53</v>
      </c>
      <c r="E16" s="3">
        <v>15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52</v>
      </c>
      <c r="D17" t="s">
        <v>53</v>
      </c>
      <c r="E17" s="3">
        <v>95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52</v>
      </c>
      <c r="D18" t="s">
        <v>53</v>
      </c>
      <c r="E18" s="3">
        <v>77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52</v>
      </c>
      <c r="D19" t="s">
        <v>53</v>
      </c>
      <c r="E19" s="3">
        <v>20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52</v>
      </c>
      <c r="D20" t="s">
        <v>53</v>
      </c>
      <c r="E20" s="3">
        <v>31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52</v>
      </c>
      <c r="D21" t="s">
        <v>53</v>
      </c>
      <c r="E21" s="3">
        <v>48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52</v>
      </c>
      <c r="D22" t="s">
        <v>53</v>
      </c>
      <c r="E22" s="3">
        <v>26</v>
      </c>
      <c r="F22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4-C560-4125-B259-D22672293B40}">
  <dimension ref="A1:F40"/>
  <sheetViews>
    <sheetView workbookViewId="0">
      <selection activeCell="C26" sqref="C26"/>
    </sheetView>
  </sheetViews>
  <sheetFormatPr defaultRowHeight="14.4" x14ac:dyDescent="0.3"/>
  <cols>
    <col min="1" max="1" width="12" customWidth="1"/>
    <col min="2" max="2" width="16.6640625" bestFit="1" customWidth="1"/>
    <col min="3" max="3" width="13.33203125" customWidth="1"/>
    <col min="4" max="4" width="12.33203125" customWidth="1"/>
    <col min="5" max="5" width="13.88671875" customWidth="1"/>
    <col min="6" max="6" width="21.1093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54</v>
      </c>
      <c r="D2" t="s">
        <v>55</v>
      </c>
      <c r="E2" s="3">
        <v>70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54</v>
      </c>
      <c r="D3" t="s">
        <v>55</v>
      </c>
      <c r="E3" s="3">
        <v>37</v>
      </c>
      <c r="F3">
        <f t="shared" ref="F3:F40" si="0">IF(E3&gt;=60,1,0)</f>
        <v>0</v>
      </c>
    </row>
    <row r="4" spans="1:6" x14ac:dyDescent="0.3">
      <c r="A4">
        <v>1003</v>
      </c>
      <c r="B4" t="s">
        <v>10</v>
      </c>
      <c r="C4" t="s">
        <v>54</v>
      </c>
      <c r="D4" t="s">
        <v>55</v>
      </c>
      <c r="E4" s="3">
        <v>68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54</v>
      </c>
      <c r="D5" t="s">
        <v>55</v>
      </c>
      <c r="E5" s="3">
        <v>60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54</v>
      </c>
      <c r="D6" t="s">
        <v>55</v>
      </c>
      <c r="E6" s="3">
        <v>98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54</v>
      </c>
      <c r="D7" t="s">
        <v>55</v>
      </c>
      <c r="E7" s="3">
        <v>20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54</v>
      </c>
      <c r="D8" t="s">
        <v>55</v>
      </c>
      <c r="E8" s="3">
        <v>32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54</v>
      </c>
      <c r="D9" t="s">
        <v>55</v>
      </c>
      <c r="E9" s="3">
        <v>40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54</v>
      </c>
      <c r="D10" t="s">
        <v>55</v>
      </c>
      <c r="E10" s="3">
        <v>97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54</v>
      </c>
      <c r="D11" t="s">
        <v>55</v>
      </c>
      <c r="E11" s="3">
        <v>1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54</v>
      </c>
      <c r="D12" t="s">
        <v>55</v>
      </c>
      <c r="E12" s="3">
        <v>6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54</v>
      </c>
      <c r="D13" t="s">
        <v>55</v>
      </c>
      <c r="E13" s="3">
        <v>39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54</v>
      </c>
      <c r="D14" t="s">
        <v>55</v>
      </c>
      <c r="E14" s="3">
        <v>68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54</v>
      </c>
      <c r="D15" t="s">
        <v>55</v>
      </c>
      <c r="E15" s="3">
        <v>37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54</v>
      </c>
      <c r="D16" t="s">
        <v>55</v>
      </c>
      <c r="E16" s="3">
        <v>37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54</v>
      </c>
      <c r="D17" t="s">
        <v>55</v>
      </c>
      <c r="E17" s="3">
        <v>90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54</v>
      </c>
      <c r="D18" t="s">
        <v>55</v>
      </c>
      <c r="E18" s="3">
        <v>38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54</v>
      </c>
      <c r="D19" t="s">
        <v>55</v>
      </c>
      <c r="E19" s="3">
        <v>87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54</v>
      </c>
      <c r="D20" t="s">
        <v>55</v>
      </c>
      <c r="E20" s="3">
        <v>45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54</v>
      </c>
      <c r="D21" t="s">
        <v>55</v>
      </c>
      <c r="E21" s="3">
        <v>73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54</v>
      </c>
      <c r="D22" t="s">
        <v>55</v>
      </c>
      <c r="E22" s="3">
        <v>36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54</v>
      </c>
      <c r="D23" t="s">
        <v>55</v>
      </c>
      <c r="E23" s="3">
        <v>35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54</v>
      </c>
      <c r="D24" t="s">
        <v>55</v>
      </c>
      <c r="E24" s="3">
        <v>85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54</v>
      </c>
      <c r="D25" t="s">
        <v>55</v>
      </c>
      <c r="E25" s="3">
        <v>7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54</v>
      </c>
      <c r="D26" t="s">
        <v>55</v>
      </c>
      <c r="E26" s="3">
        <v>67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54</v>
      </c>
      <c r="D27" t="s">
        <v>55</v>
      </c>
      <c r="E27" s="3">
        <v>80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54</v>
      </c>
      <c r="D28" t="s">
        <v>55</v>
      </c>
      <c r="E28" s="3">
        <v>55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54</v>
      </c>
      <c r="D29" t="s">
        <v>55</v>
      </c>
      <c r="E29" s="3">
        <v>83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54</v>
      </c>
      <c r="D30" t="s">
        <v>55</v>
      </c>
      <c r="E30" s="3">
        <v>67</v>
      </c>
      <c r="F30">
        <f t="shared" si="0"/>
        <v>1</v>
      </c>
    </row>
    <row r="31" spans="1:6" x14ac:dyDescent="0.3">
      <c r="A31">
        <v>1030</v>
      </c>
      <c r="B31" t="s">
        <v>37</v>
      </c>
      <c r="C31" t="s">
        <v>54</v>
      </c>
      <c r="D31" t="s">
        <v>55</v>
      </c>
      <c r="E31" s="3">
        <v>27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54</v>
      </c>
      <c r="D32" t="s">
        <v>55</v>
      </c>
      <c r="E32" s="3">
        <v>94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54</v>
      </c>
      <c r="D33" t="s">
        <v>55</v>
      </c>
      <c r="E33" s="3">
        <v>96</v>
      </c>
      <c r="F33">
        <f t="shared" si="0"/>
        <v>1</v>
      </c>
    </row>
    <row r="34" spans="1:6" x14ac:dyDescent="0.3">
      <c r="A34">
        <v>1033</v>
      </c>
      <c r="B34" t="s">
        <v>40</v>
      </c>
      <c r="C34" t="s">
        <v>54</v>
      </c>
      <c r="D34" t="s">
        <v>55</v>
      </c>
      <c r="E34" s="3">
        <v>99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54</v>
      </c>
      <c r="D35" t="s">
        <v>55</v>
      </c>
      <c r="E35" s="3">
        <v>64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54</v>
      </c>
      <c r="D36" t="s">
        <v>55</v>
      </c>
      <c r="E36" s="3">
        <v>52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54</v>
      </c>
      <c r="D37" t="s">
        <v>55</v>
      </c>
      <c r="E37" s="3">
        <v>16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54</v>
      </c>
      <c r="D38" t="s">
        <v>55</v>
      </c>
      <c r="E38" s="3">
        <v>34</v>
      </c>
      <c r="F38">
        <f t="shared" si="0"/>
        <v>0</v>
      </c>
    </row>
    <row r="39" spans="1:6" x14ac:dyDescent="0.3">
      <c r="A39">
        <v>1038</v>
      </c>
      <c r="B39" t="s">
        <v>45</v>
      </c>
      <c r="C39" t="s">
        <v>54</v>
      </c>
      <c r="D39" t="s">
        <v>55</v>
      </c>
      <c r="E39" s="3">
        <v>76</v>
      </c>
      <c r="F39">
        <f t="shared" si="0"/>
        <v>1</v>
      </c>
    </row>
    <row r="40" spans="1:6" x14ac:dyDescent="0.3">
      <c r="A40">
        <v>1039</v>
      </c>
      <c r="B40" t="s">
        <v>56</v>
      </c>
      <c r="C40" t="s">
        <v>54</v>
      </c>
      <c r="D40" t="s">
        <v>55</v>
      </c>
      <c r="E40" s="3">
        <v>96</v>
      </c>
      <c r="F40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898-BD4A-4D69-AD11-16BF270C0729}">
  <dimension ref="A1:S40"/>
  <sheetViews>
    <sheetView workbookViewId="0">
      <selection activeCell="S19" sqref="S19"/>
    </sheetView>
  </sheetViews>
  <sheetFormatPr defaultRowHeight="14.4" x14ac:dyDescent="0.3"/>
  <cols>
    <col min="1" max="1" width="16.6640625" bestFit="1" customWidth="1"/>
    <col min="2" max="2" width="12" customWidth="1"/>
    <col min="3" max="3" width="6.5546875" style="3" customWidth="1"/>
    <col min="4" max="4" width="9.88671875" style="3" customWidth="1"/>
    <col min="5" max="5" width="10.88671875" style="3" customWidth="1"/>
    <col min="6" max="6" width="19.33203125" style="3" customWidth="1"/>
    <col min="7" max="7" width="19.44140625" style="3" customWidth="1"/>
    <col min="8" max="8" width="11.5546875" style="3" customWidth="1"/>
    <col min="9" max="9" width="10.5546875" style="3" customWidth="1"/>
    <col min="10" max="10" width="17.5546875" style="3" customWidth="1"/>
    <col min="11" max="11" width="15.88671875" style="3" customWidth="1"/>
    <col min="12" max="12" width="8.6640625" style="3" customWidth="1"/>
    <col min="13" max="13" width="8.44140625" style="3" customWidth="1"/>
    <col min="14" max="14" width="14.88671875" style="3" customWidth="1"/>
    <col min="15" max="15" width="12.109375" style="3" bestFit="1" customWidth="1"/>
    <col min="16" max="16" width="13" style="3" customWidth="1"/>
    <col min="18" max="18" width="29.109375" customWidth="1"/>
  </cols>
  <sheetData>
    <row r="1" spans="1:19" x14ac:dyDescent="0.3">
      <c r="A1" s="2" t="s">
        <v>1</v>
      </c>
      <c r="B1" s="7" t="s">
        <v>0</v>
      </c>
      <c r="C1" s="8" t="s">
        <v>57</v>
      </c>
      <c r="D1" s="8" t="s">
        <v>58</v>
      </c>
      <c r="E1" s="8" t="s">
        <v>59</v>
      </c>
      <c r="F1" s="8" t="s">
        <v>60</v>
      </c>
      <c r="G1" s="9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</row>
    <row r="2" spans="1:19" x14ac:dyDescent="0.3">
      <c r="A2" t="s">
        <v>6</v>
      </c>
      <c r="B2">
        <v>1001</v>
      </c>
      <c r="C2" s="3">
        <v>17</v>
      </c>
      <c r="D2" s="3">
        <v>1</v>
      </c>
      <c r="E2" s="3">
        <v>0</v>
      </c>
      <c r="F2" s="3">
        <v>2</v>
      </c>
      <c r="G2" s="3">
        <v>19.833722807854699</v>
      </c>
      <c r="H2" s="3">
        <v>7</v>
      </c>
      <c r="I2" s="3">
        <v>1</v>
      </c>
      <c r="J2" s="3">
        <v>2</v>
      </c>
      <c r="K2" s="3">
        <v>0</v>
      </c>
      <c r="L2" s="3">
        <v>0</v>
      </c>
      <c r="M2" s="3">
        <v>1</v>
      </c>
      <c r="N2" s="3">
        <v>0</v>
      </c>
      <c r="O2" s="3">
        <v>2.9291955916676802</v>
      </c>
      <c r="P2" s="3">
        <v>2</v>
      </c>
    </row>
    <row r="3" spans="1:19" x14ac:dyDescent="0.3">
      <c r="A3" t="s">
        <v>9</v>
      </c>
      <c r="B3">
        <v>1002</v>
      </c>
      <c r="C3" s="3">
        <v>18</v>
      </c>
      <c r="D3" s="3">
        <v>0</v>
      </c>
      <c r="E3" s="3">
        <v>0</v>
      </c>
      <c r="F3" s="3">
        <v>1</v>
      </c>
      <c r="G3" s="3">
        <v>15.4087560558467</v>
      </c>
      <c r="H3" s="3">
        <v>0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3.0429148334363698</v>
      </c>
      <c r="P3" s="3">
        <v>1</v>
      </c>
    </row>
    <row r="4" spans="1:19" x14ac:dyDescent="0.3">
      <c r="A4" t="s">
        <v>10</v>
      </c>
      <c r="B4">
        <v>1003</v>
      </c>
      <c r="C4" s="3">
        <v>15</v>
      </c>
      <c r="D4" s="3">
        <v>0</v>
      </c>
      <c r="E4" s="3">
        <v>2</v>
      </c>
      <c r="F4" s="3">
        <v>3</v>
      </c>
      <c r="G4" s="3">
        <v>4.2105697688122596</v>
      </c>
      <c r="H4" s="3">
        <v>26</v>
      </c>
      <c r="I4" s="3">
        <v>0</v>
      </c>
      <c r="J4" s="3">
        <v>2</v>
      </c>
      <c r="K4" s="3">
        <v>0</v>
      </c>
      <c r="L4" s="3">
        <v>0</v>
      </c>
      <c r="M4" s="3">
        <v>0</v>
      </c>
      <c r="N4" s="3">
        <v>0</v>
      </c>
      <c r="O4" s="3">
        <v>0.112602254466181</v>
      </c>
      <c r="P4" s="3">
        <v>4</v>
      </c>
    </row>
    <row r="5" spans="1:19" x14ac:dyDescent="0.3">
      <c r="A5" t="s">
        <v>11</v>
      </c>
      <c r="B5">
        <v>1004</v>
      </c>
      <c r="C5" s="3">
        <v>17</v>
      </c>
      <c r="D5" s="3">
        <v>1</v>
      </c>
      <c r="E5" s="3">
        <v>0</v>
      </c>
      <c r="F5" s="3">
        <v>3</v>
      </c>
      <c r="G5" s="3">
        <v>10.028829473958201</v>
      </c>
      <c r="H5" s="3">
        <v>14</v>
      </c>
      <c r="I5" s="3">
        <v>0</v>
      </c>
      <c r="J5" s="3">
        <v>3</v>
      </c>
      <c r="K5" s="3">
        <v>1</v>
      </c>
      <c r="L5" s="3">
        <v>0</v>
      </c>
      <c r="M5" s="3">
        <v>0</v>
      </c>
      <c r="N5" s="3">
        <v>0</v>
      </c>
      <c r="O5" s="3">
        <v>2.05421813970294</v>
      </c>
      <c r="P5" s="3">
        <v>3</v>
      </c>
    </row>
    <row r="6" spans="1:19" x14ac:dyDescent="0.3">
      <c r="A6" t="s">
        <v>12</v>
      </c>
      <c r="B6">
        <v>1005</v>
      </c>
      <c r="C6" s="3">
        <v>17</v>
      </c>
      <c r="D6" s="3">
        <v>1</v>
      </c>
      <c r="E6" s="3">
        <v>0</v>
      </c>
      <c r="F6" s="3">
        <v>2</v>
      </c>
      <c r="G6" s="3">
        <v>4.6724952729713296</v>
      </c>
      <c r="H6" s="3">
        <v>17</v>
      </c>
      <c r="I6" s="3">
        <v>1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1.28806118179538</v>
      </c>
      <c r="P6" s="3">
        <v>4</v>
      </c>
    </row>
    <row r="7" spans="1:19" x14ac:dyDescent="0.3">
      <c r="A7" t="s">
        <v>13</v>
      </c>
      <c r="B7">
        <v>1006</v>
      </c>
      <c r="C7" s="3">
        <v>18</v>
      </c>
      <c r="D7" s="3">
        <v>0</v>
      </c>
      <c r="E7" s="3">
        <v>0</v>
      </c>
      <c r="F7" s="3">
        <v>1</v>
      </c>
      <c r="G7" s="3">
        <v>8.1912185452501802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3.0841836144863901</v>
      </c>
      <c r="P7" s="3">
        <v>1</v>
      </c>
    </row>
    <row r="8" spans="1:19" x14ac:dyDescent="0.3">
      <c r="A8" t="s">
        <v>14</v>
      </c>
      <c r="B8">
        <v>1007</v>
      </c>
      <c r="C8" s="3">
        <v>15</v>
      </c>
      <c r="D8" s="3">
        <v>0</v>
      </c>
      <c r="E8" s="3">
        <v>1</v>
      </c>
      <c r="F8" s="3">
        <v>1</v>
      </c>
      <c r="G8" s="3">
        <v>15.601680474699201</v>
      </c>
      <c r="H8" s="3">
        <v>10</v>
      </c>
      <c r="I8" s="3">
        <v>0</v>
      </c>
      <c r="J8" s="3">
        <v>3</v>
      </c>
      <c r="K8" s="3">
        <v>0</v>
      </c>
      <c r="L8" s="3">
        <v>1</v>
      </c>
      <c r="M8" s="3">
        <v>0</v>
      </c>
      <c r="N8" s="3">
        <v>0</v>
      </c>
      <c r="O8" s="3">
        <v>2.7482374148915798</v>
      </c>
      <c r="P8" s="3">
        <v>2</v>
      </c>
    </row>
    <row r="9" spans="1:19" ht="15" thickBot="1" x14ac:dyDescent="0.35">
      <c r="A9" t="s">
        <v>15</v>
      </c>
      <c r="B9">
        <v>1008</v>
      </c>
      <c r="C9" s="3">
        <v>15</v>
      </c>
      <c r="D9" s="3">
        <v>1</v>
      </c>
      <c r="E9" s="3">
        <v>1</v>
      </c>
      <c r="F9" s="3">
        <v>4</v>
      </c>
      <c r="G9" s="3">
        <v>15.424496305808001</v>
      </c>
      <c r="H9" s="3">
        <v>22</v>
      </c>
      <c r="I9" s="3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1.36014271231646</v>
      </c>
      <c r="P9" s="3">
        <v>4</v>
      </c>
    </row>
    <row r="10" spans="1:19" ht="15.6" thickTop="1" thickBot="1" x14ac:dyDescent="0.35">
      <c r="A10" t="s">
        <v>16</v>
      </c>
      <c r="B10">
        <v>1009</v>
      </c>
      <c r="C10" s="3">
        <v>17</v>
      </c>
      <c r="D10" s="3">
        <v>0</v>
      </c>
      <c r="E10" s="3">
        <v>0</v>
      </c>
      <c r="F10" s="3">
        <v>0</v>
      </c>
      <c r="G10" s="3">
        <v>4.5620075580477</v>
      </c>
      <c r="H10" s="3">
        <v>1</v>
      </c>
      <c r="I10" s="3">
        <v>0</v>
      </c>
      <c r="J10" s="3">
        <v>2</v>
      </c>
      <c r="K10" s="3">
        <v>0</v>
      </c>
      <c r="L10" s="3">
        <v>1</v>
      </c>
      <c r="M10" s="3">
        <v>0</v>
      </c>
      <c r="N10" s="3">
        <v>1</v>
      </c>
      <c r="O10" s="3">
        <v>2.8968191895135602</v>
      </c>
      <c r="P10" s="3">
        <v>2</v>
      </c>
      <c r="R10" s="26" t="s">
        <v>62</v>
      </c>
      <c r="S10" s="26">
        <f>_xlfn.XLOOKUP('Project file'!$B$10,'Additional Details'!A:A,'Additional Details'!H:H,0,0,1)</f>
        <v>26</v>
      </c>
    </row>
    <row r="11" spans="1:19" ht="15.6" thickTop="1" thickBot="1" x14ac:dyDescent="0.35">
      <c r="A11" t="s">
        <v>17</v>
      </c>
      <c r="B11">
        <v>1010</v>
      </c>
      <c r="C11" s="3">
        <v>16</v>
      </c>
      <c r="D11" s="3">
        <v>1</v>
      </c>
      <c r="E11" s="3">
        <v>0</v>
      </c>
      <c r="F11" s="3">
        <v>1</v>
      </c>
      <c r="G11" s="3">
        <v>18.444466363097199</v>
      </c>
      <c r="H11" s="3">
        <v>0</v>
      </c>
      <c r="I11" s="3">
        <v>0</v>
      </c>
      <c r="J11" s="3">
        <v>3</v>
      </c>
      <c r="K11" s="3">
        <v>1</v>
      </c>
      <c r="L11" s="3">
        <v>0</v>
      </c>
      <c r="M11" s="3">
        <v>0</v>
      </c>
      <c r="N11" s="3">
        <v>0</v>
      </c>
      <c r="O11" s="3">
        <v>3.5734742103297599</v>
      </c>
      <c r="P11" s="3">
        <v>0</v>
      </c>
      <c r="R11" s="26" t="s">
        <v>76</v>
      </c>
      <c r="S11" s="26">
        <f>AVERAGE(Table1[Absences])</f>
        <v>14.615384615384615</v>
      </c>
    </row>
    <row r="12" spans="1:19" ht="15" thickTop="1" x14ac:dyDescent="0.3">
      <c r="A12" t="s">
        <v>18</v>
      </c>
      <c r="B12">
        <v>1011</v>
      </c>
      <c r="C12" s="3">
        <v>17</v>
      </c>
      <c r="D12" s="3">
        <v>0</v>
      </c>
      <c r="E12" s="3">
        <v>0</v>
      </c>
      <c r="F12" s="3">
        <v>1</v>
      </c>
      <c r="G12" s="3">
        <v>11.851363655296501</v>
      </c>
      <c r="H12" s="3">
        <v>11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2.14717162501851</v>
      </c>
      <c r="P12" s="3">
        <v>3</v>
      </c>
    </row>
    <row r="13" spans="1:19" ht="15" thickBot="1" x14ac:dyDescent="0.35">
      <c r="A13" t="s">
        <v>19</v>
      </c>
      <c r="B13">
        <v>1012</v>
      </c>
      <c r="C13" s="3">
        <v>17</v>
      </c>
      <c r="D13" s="3">
        <v>0</v>
      </c>
      <c r="E13" s="3">
        <v>0</v>
      </c>
      <c r="F13" s="3">
        <v>1</v>
      </c>
      <c r="G13" s="3">
        <v>7.59848581924029</v>
      </c>
      <c r="H13" s="3">
        <v>15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1</v>
      </c>
      <c r="O13" s="3">
        <v>1.55959451904027</v>
      </c>
      <c r="P13" s="3">
        <v>4</v>
      </c>
    </row>
    <row r="14" spans="1:19" ht="15.6" thickTop="1" thickBot="1" x14ac:dyDescent="0.35">
      <c r="A14" t="s">
        <v>20</v>
      </c>
      <c r="B14">
        <v>1013</v>
      </c>
      <c r="C14" s="3">
        <v>17</v>
      </c>
      <c r="D14" s="3">
        <v>0</v>
      </c>
      <c r="E14" s="3">
        <v>1</v>
      </c>
      <c r="F14" s="3">
        <v>1</v>
      </c>
      <c r="G14" s="3">
        <v>10.038711615617199</v>
      </c>
      <c r="H14" s="3">
        <v>21</v>
      </c>
      <c r="I14" s="3">
        <v>0</v>
      </c>
      <c r="J14" s="3">
        <v>3</v>
      </c>
      <c r="K14" s="3">
        <v>1</v>
      </c>
      <c r="L14" s="3">
        <v>0</v>
      </c>
      <c r="M14" s="3">
        <v>0</v>
      </c>
      <c r="N14" s="3">
        <v>0</v>
      </c>
      <c r="O14" s="3">
        <v>1.5200778148748</v>
      </c>
      <c r="P14" s="3">
        <v>4</v>
      </c>
      <c r="R14" s="26" t="s">
        <v>77</v>
      </c>
      <c r="S14" s="26">
        <f>AVERAGE(Table1[StudyTimeWeekly])</f>
        <v>9.9480693951685026</v>
      </c>
    </row>
    <row r="15" spans="1:19" ht="15.6" thickTop="1" thickBot="1" x14ac:dyDescent="0.35">
      <c r="A15" t="s">
        <v>21</v>
      </c>
      <c r="B15">
        <v>1014</v>
      </c>
      <c r="C15" s="3">
        <v>17</v>
      </c>
      <c r="D15" s="3">
        <v>0</v>
      </c>
      <c r="E15" s="3">
        <v>1</v>
      </c>
      <c r="F15" s="3">
        <v>2</v>
      </c>
      <c r="G15" s="3">
        <v>12.1014250687548</v>
      </c>
      <c r="H15" s="3">
        <v>21</v>
      </c>
      <c r="I15" s="3">
        <v>0</v>
      </c>
      <c r="J15" s="3">
        <v>4</v>
      </c>
      <c r="K15" s="3">
        <v>0</v>
      </c>
      <c r="L15" s="3">
        <v>1</v>
      </c>
      <c r="M15" s="3">
        <v>0</v>
      </c>
      <c r="N15" s="3">
        <v>0</v>
      </c>
      <c r="O15" s="3">
        <v>1.75158095833407</v>
      </c>
      <c r="P15" s="3">
        <v>4</v>
      </c>
      <c r="R15" s="26" t="s">
        <v>78</v>
      </c>
      <c r="S15" s="26">
        <f>_xlfn.XLOOKUP('Project file'!$B$10,'Additional Details'!A:A,'Additional Details'!G:G,"NA",0,1)</f>
        <v>4.2105697688122596</v>
      </c>
    </row>
    <row r="16" spans="1:19" ht="15" thickTop="1" x14ac:dyDescent="0.3">
      <c r="A16" t="s">
        <v>22</v>
      </c>
      <c r="B16">
        <v>1015</v>
      </c>
      <c r="C16" s="3">
        <v>18</v>
      </c>
      <c r="D16" s="3">
        <v>1</v>
      </c>
      <c r="E16" s="3">
        <v>0</v>
      </c>
      <c r="F16" s="3">
        <v>1</v>
      </c>
      <c r="G16" s="3">
        <v>11.197810636915699</v>
      </c>
      <c r="H16" s="3">
        <v>9</v>
      </c>
      <c r="I16" s="3">
        <v>1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2.3967881171247898</v>
      </c>
      <c r="P16" s="3">
        <v>3</v>
      </c>
    </row>
    <row r="17" spans="1:16" x14ac:dyDescent="0.3">
      <c r="A17" t="s">
        <v>23</v>
      </c>
      <c r="B17">
        <v>1016</v>
      </c>
      <c r="C17" s="3">
        <v>15</v>
      </c>
      <c r="D17" s="3">
        <v>0</v>
      </c>
      <c r="E17" s="3">
        <v>0</v>
      </c>
      <c r="F17" s="3">
        <v>2</v>
      </c>
      <c r="G17" s="3">
        <v>9.7281007107235595</v>
      </c>
      <c r="H17" s="3">
        <v>17</v>
      </c>
      <c r="I17" s="3">
        <v>1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1.3415207165346601</v>
      </c>
      <c r="P17" s="3">
        <v>4</v>
      </c>
    </row>
    <row r="18" spans="1:16" x14ac:dyDescent="0.3">
      <c r="A18" t="s">
        <v>24</v>
      </c>
      <c r="B18">
        <v>1017</v>
      </c>
      <c r="C18" s="3">
        <v>18</v>
      </c>
      <c r="D18" s="3">
        <v>0</v>
      </c>
      <c r="E18" s="3">
        <v>3</v>
      </c>
      <c r="F18" s="3">
        <v>1</v>
      </c>
      <c r="G18" s="3">
        <v>10.098656081788</v>
      </c>
      <c r="H18" s="3">
        <v>14</v>
      </c>
      <c r="I18" s="3">
        <v>0</v>
      </c>
      <c r="J18" s="3">
        <v>2</v>
      </c>
      <c r="K18" s="3">
        <v>1</v>
      </c>
      <c r="L18" s="3">
        <v>1</v>
      </c>
      <c r="M18" s="3">
        <v>0</v>
      </c>
      <c r="N18" s="3">
        <v>0</v>
      </c>
      <c r="O18" s="3">
        <v>2.23217527771597</v>
      </c>
      <c r="P18" s="3">
        <v>3</v>
      </c>
    </row>
    <row r="19" spans="1:16" x14ac:dyDescent="0.3">
      <c r="A19" t="s">
        <v>25</v>
      </c>
      <c r="B19">
        <v>1018</v>
      </c>
      <c r="C19" s="3">
        <v>18</v>
      </c>
      <c r="D19" s="3">
        <v>1</v>
      </c>
      <c r="E19" s="3">
        <v>0</v>
      </c>
      <c r="F19" s="3">
        <v>0</v>
      </c>
      <c r="G19" s="3">
        <v>3.52823820855772</v>
      </c>
      <c r="H19" s="3">
        <v>16</v>
      </c>
      <c r="I19" s="3">
        <v>1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1.38440417569403</v>
      </c>
      <c r="P19" s="3">
        <v>4</v>
      </c>
    </row>
    <row r="20" spans="1:16" x14ac:dyDescent="0.3">
      <c r="A20" t="s">
        <v>26</v>
      </c>
      <c r="B20">
        <v>1019</v>
      </c>
      <c r="C20" s="3">
        <v>18</v>
      </c>
      <c r="D20" s="3">
        <v>0</v>
      </c>
      <c r="E20" s="3">
        <v>1</v>
      </c>
      <c r="F20" s="3">
        <v>3</v>
      </c>
      <c r="G20" s="3">
        <v>16.254658086093499</v>
      </c>
      <c r="H20" s="3">
        <v>29</v>
      </c>
      <c r="I20" s="3">
        <v>0</v>
      </c>
      <c r="J20" s="3">
        <v>2</v>
      </c>
      <c r="K20" s="3">
        <v>1</v>
      </c>
      <c r="L20" s="3">
        <v>0</v>
      </c>
      <c r="M20" s="3">
        <v>0</v>
      </c>
      <c r="N20" s="3">
        <v>1</v>
      </c>
      <c r="O20" s="3">
        <v>0.46955332337986999</v>
      </c>
      <c r="P20" s="3">
        <v>4</v>
      </c>
    </row>
    <row r="21" spans="1:16" x14ac:dyDescent="0.3">
      <c r="A21" t="s">
        <v>27</v>
      </c>
      <c r="B21">
        <v>1020</v>
      </c>
      <c r="C21" s="3">
        <v>17</v>
      </c>
      <c r="D21" s="3">
        <v>0</v>
      </c>
      <c r="E21" s="3">
        <v>0</v>
      </c>
      <c r="F21" s="3">
        <v>1</v>
      </c>
      <c r="G21" s="3">
        <v>10.835206398820301</v>
      </c>
      <c r="H21" s="3">
        <v>9</v>
      </c>
      <c r="I21" s="3">
        <v>0</v>
      </c>
      <c r="J21" s="3">
        <v>2</v>
      </c>
      <c r="K21" s="3">
        <v>0</v>
      </c>
      <c r="L21" s="3">
        <v>0</v>
      </c>
      <c r="M21" s="3">
        <v>1</v>
      </c>
      <c r="N21" s="3">
        <v>0</v>
      </c>
      <c r="O21" s="3">
        <v>2.3957840945306899</v>
      </c>
      <c r="P21" s="3">
        <v>3</v>
      </c>
    </row>
    <row r="22" spans="1:16" x14ac:dyDescent="0.3">
      <c r="A22" t="s">
        <v>28</v>
      </c>
      <c r="B22">
        <v>1021</v>
      </c>
      <c r="C22" s="3">
        <v>16</v>
      </c>
      <c r="D22" s="3">
        <v>1</v>
      </c>
      <c r="E22" s="3">
        <v>0</v>
      </c>
      <c r="F22" s="3">
        <v>3</v>
      </c>
      <c r="G22" s="3">
        <v>2.6215972340940601</v>
      </c>
      <c r="H22" s="3">
        <v>2</v>
      </c>
      <c r="I22" s="3">
        <v>0</v>
      </c>
      <c r="J22" s="3">
        <v>3</v>
      </c>
      <c r="K22" s="3">
        <v>0</v>
      </c>
      <c r="L22" s="3">
        <v>0</v>
      </c>
      <c r="M22" s="3">
        <v>0</v>
      </c>
      <c r="N22" s="3">
        <v>1</v>
      </c>
      <c r="O22" s="3">
        <v>2.7784112999206498</v>
      </c>
      <c r="P22" s="3">
        <v>2</v>
      </c>
    </row>
    <row r="23" spans="1:16" x14ac:dyDescent="0.3">
      <c r="A23" t="s">
        <v>29</v>
      </c>
      <c r="B23">
        <v>1022</v>
      </c>
      <c r="C23" s="3">
        <v>15</v>
      </c>
      <c r="D23" s="3">
        <v>0</v>
      </c>
      <c r="E23" s="3">
        <v>0</v>
      </c>
      <c r="F23" s="3">
        <v>2</v>
      </c>
      <c r="G23" s="3">
        <v>15.3231420316555</v>
      </c>
      <c r="H23" s="3">
        <v>25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0.34689403670501401</v>
      </c>
      <c r="P23" s="3">
        <v>4</v>
      </c>
    </row>
    <row r="24" spans="1:16" x14ac:dyDescent="0.3">
      <c r="A24" t="s">
        <v>30</v>
      </c>
      <c r="B24">
        <v>1023</v>
      </c>
      <c r="C24" s="3">
        <v>16</v>
      </c>
      <c r="D24" s="3">
        <v>1</v>
      </c>
      <c r="E24" s="3">
        <v>1</v>
      </c>
      <c r="F24" s="3">
        <v>0</v>
      </c>
      <c r="G24" s="3">
        <v>18.648879567546999</v>
      </c>
      <c r="H24" s="3">
        <v>29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0.31254623052535402</v>
      </c>
      <c r="P24" s="3">
        <v>4</v>
      </c>
    </row>
    <row r="25" spans="1:16" x14ac:dyDescent="0.3">
      <c r="A25" t="s">
        <v>31</v>
      </c>
      <c r="B25">
        <v>1024</v>
      </c>
      <c r="C25" s="3">
        <v>18</v>
      </c>
      <c r="D25" s="3">
        <v>1</v>
      </c>
      <c r="E25" s="3">
        <v>3</v>
      </c>
      <c r="F25" s="3">
        <v>4</v>
      </c>
      <c r="G25" s="3">
        <v>18.946137984739199</v>
      </c>
      <c r="H25" s="3">
        <v>20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  <c r="O25" s="3">
        <v>1.7701318767799701</v>
      </c>
      <c r="P25" s="3">
        <v>4</v>
      </c>
    </row>
    <row r="26" spans="1:16" x14ac:dyDescent="0.3">
      <c r="A26" t="s">
        <v>32</v>
      </c>
      <c r="B26">
        <v>1025</v>
      </c>
      <c r="C26" s="3">
        <v>18</v>
      </c>
      <c r="D26" s="3">
        <v>1</v>
      </c>
      <c r="E26" s="3">
        <v>0</v>
      </c>
      <c r="F26" s="3">
        <v>1</v>
      </c>
      <c r="G26" s="3">
        <v>7.3803546482234497</v>
      </c>
      <c r="H26" s="3">
        <v>15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1.5051556220362801</v>
      </c>
      <c r="P26" s="3">
        <v>4</v>
      </c>
    </row>
    <row r="27" spans="1:16" x14ac:dyDescent="0.3">
      <c r="A27" t="s">
        <v>33</v>
      </c>
      <c r="B27">
        <v>1026</v>
      </c>
      <c r="C27" s="3">
        <v>16</v>
      </c>
      <c r="D27" s="3">
        <v>1</v>
      </c>
      <c r="E27" s="3">
        <v>0</v>
      </c>
      <c r="F27" s="3">
        <v>3</v>
      </c>
      <c r="G27" s="3">
        <v>2.7103374712150798</v>
      </c>
      <c r="H27" s="3">
        <v>5</v>
      </c>
      <c r="I27" s="3">
        <v>0</v>
      </c>
      <c r="J27" s="3">
        <v>4</v>
      </c>
      <c r="K27" s="3">
        <v>0</v>
      </c>
      <c r="L27" s="3">
        <v>0</v>
      </c>
      <c r="M27" s="3">
        <v>1</v>
      </c>
      <c r="N27" s="3">
        <v>0</v>
      </c>
      <c r="O27" s="3">
        <v>2.9778519183157401</v>
      </c>
      <c r="P27" s="3">
        <v>2</v>
      </c>
    </row>
    <row r="28" spans="1:16" x14ac:dyDescent="0.3">
      <c r="A28" t="s">
        <v>34</v>
      </c>
      <c r="B28">
        <v>1027</v>
      </c>
      <c r="C28" s="3">
        <v>16</v>
      </c>
      <c r="D28" s="3">
        <v>0</v>
      </c>
      <c r="E28" s="3">
        <v>0</v>
      </c>
      <c r="F28" s="3">
        <v>1</v>
      </c>
      <c r="G28" s="3">
        <v>10.367992532661299</v>
      </c>
      <c r="H28" s="3">
        <v>2</v>
      </c>
      <c r="I28" s="3">
        <v>0</v>
      </c>
      <c r="J28" s="3">
        <v>2</v>
      </c>
      <c r="K28" s="3">
        <v>0</v>
      </c>
      <c r="L28" s="3">
        <v>1</v>
      </c>
      <c r="M28" s="3">
        <v>0</v>
      </c>
      <c r="N28" s="3">
        <v>0</v>
      </c>
      <c r="O28" s="3">
        <v>2.9487176719119201</v>
      </c>
      <c r="P28" s="3">
        <v>2</v>
      </c>
    </row>
    <row r="29" spans="1:16" x14ac:dyDescent="0.3">
      <c r="A29" t="s">
        <v>35</v>
      </c>
      <c r="B29">
        <v>1028</v>
      </c>
      <c r="C29" s="3">
        <v>16</v>
      </c>
      <c r="D29" s="3">
        <v>1</v>
      </c>
      <c r="E29" s="3">
        <v>0</v>
      </c>
      <c r="F29" s="3">
        <v>3</v>
      </c>
      <c r="G29" s="3">
        <v>2.2521845869844102</v>
      </c>
      <c r="H29" s="3">
        <v>8</v>
      </c>
      <c r="I29" s="3">
        <v>0</v>
      </c>
      <c r="J29" s="3">
        <v>3</v>
      </c>
      <c r="K29" s="3">
        <v>0</v>
      </c>
      <c r="L29" s="3">
        <v>0</v>
      </c>
      <c r="M29" s="3">
        <v>1</v>
      </c>
      <c r="N29" s="3">
        <v>0</v>
      </c>
      <c r="O29" s="3">
        <v>2.14520472046719</v>
      </c>
      <c r="P29" s="3">
        <v>3</v>
      </c>
    </row>
    <row r="30" spans="1:16" x14ac:dyDescent="0.3">
      <c r="A30" t="s">
        <v>36</v>
      </c>
      <c r="B30">
        <v>1029</v>
      </c>
      <c r="C30" s="3">
        <v>18</v>
      </c>
      <c r="D30" s="3">
        <v>0</v>
      </c>
      <c r="E30" s="3">
        <v>0</v>
      </c>
      <c r="F30" s="3">
        <v>0</v>
      </c>
      <c r="G30" s="3">
        <v>18.679748370252302</v>
      </c>
      <c r="H30" s="3">
        <v>10</v>
      </c>
      <c r="I30" s="3">
        <v>0</v>
      </c>
      <c r="J30" s="3">
        <v>3</v>
      </c>
      <c r="K30" s="3">
        <v>1</v>
      </c>
      <c r="L30" s="3">
        <v>0</v>
      </c>
      <c r="M30" s="3">
        <v>0</v>
      </c>
      <c r="N30" s="3">
        <v>0</v>
      </c>
      <c r="O30" s="3">
        <v>2.8548039289813101</v>
      </c>
      <c r="P30" s="3">
        <v>2</v>
      </c>
    </row>
    <row r="31" spans="1:16" x14ac:dyDescent="0.3">
      <c r="A31" t="s">
        <v>37</v>
      </c>
      <c r="B31">
        <v>1030</v>
      </c>
      <c r="C31" s="3">
        <v>18</v>
      </c>
      <c r="D31" s="3">
        <v>0</v>
      </c>
      <c r="E31" s="3">
        <v>0</v>
      </c>
      <c r="F31" s="3">
        <v>2</v>
      </c>
      <c r="G31" s="3">
        <v>3.6715925471029198</v>
      </c>
      <c r="H31" s="3">
        <v>20</v>
      </c>
      <c r="I31" s="3">
        <v>0</v>
      </c>
      <c r="J31" s="3">
        <v>3</v>
      </c>
      <c r="K31" s="3">
        <v>1</v>
      </c>
      <c r="L31" s="3">
        <v>0</v>
      </c>
      <c r="M31" s="3">
        <v>0</v>
      </c>
      <c r="N31" s="3">
        <v>0</v>
      </c>
      <c r="O31" s="3">
        <v>1.51944172581513</v>
      </c>
      <c r="P31" s="3">
        <v>4</v>
      </c>
    </row>
    <row r="32" spans="1:16" x14ac:dyDescent="0.3">
      <c r="A32" t="s">
        <v>38</v>
      </c>
      <c r="B32">
        <v>1031</v>
      </c>
      <c r="C32" s="3">
        <v>15</v>
      </c>
      <c r="D32" s="3">
        <v>0</v>
      </c>
      <c r="E32" s="3">
        <v>2</v>
      </c>
      <c r="F32" s="3">
        <v>2</v>
      </c>
      <c r="G32" s="3">
        <v>5.0553171990232801</v>
      </c>
      <c r="H32" s="3">
        <v>12</v>
      </c>
      <c r="I32" s="3">
        <v>1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1.7271203095223999</v>
      </c>
      <c r="P32" s="3">
        <v>4</v>
      </c>
    </row>
    <row r="33" spans="1:16" x14ac:dyDescent="0.3">
      <c r="A33" t="s">
        <v>39</v>
      </c>
      <c r="B33">
        <v>1032</v>
      </c>
      <c r="C33" s="3">
        <v>15</v>
      </c>
      <c r="D33" s="3">
        <v>0</v>
      </c>
      <c r="E33" s="3">
        <v>0</v>
      </c>
      <c r="F33" s="3">
        <v>3</v>
      </c>
      <c r="G33" s="3">
        <v>8.1327305376994001</v>
      </c>
      <c r="H33" s="3">
        <v>17</v>
      </c>
      <c r="I33" s="3">
        <v>0</v>
      </c>
      <c r="J33" s="3">
        <v>4</v>
      </c>
      <c r="K33" s="3">
        <v>0</v>
      </c>
      <c r="L33" s="3">
        <v>0</v>
      </c>
      <c r="M33" s="3">
        <v>0</v>
      </c>
      <c r="N33" s="3">
        <v>1</v>
      </c>
      <c r="O33" s="3">
        <v>1.8475354711387899</v>
      </c>
      <c r="P33" s="3">
        <v>4</v>
      </c>
    </row>
    <row r="34" spans="1:16" x14ac:dyDescent="0.3">
      <c r="A34" t="s">
        <v>40</v>
      </c>
      <c r="B34">
        <v>1033</v>
      </c>
      <c r="C34" s="3">
        <v>18</v>
      </c>
      <c r="D34" s="3">
        <v>0</v>
      </c>
      <c r="E34" s="3">
        <v>0</v>
      </c>
      <c r="F34" s="3">
        <v>3</v>
      </c>
      <c r="G34" s="3">
        <v>7.6632893711825103</v>
      </c>
      <c r="H34" s="3">
        <v>25</v>
      </c>
      <c r="I34" s="3">
        <v>0</v>
      </c>
      <c r="J34" s="3">
        <v>1</v>
      </c>
      <c r="K34" s="3">
        <v>0</v>
      </c>
      <c r="L34" s="3">
        <v>1</v>
      </c>
      <c r="M34" s="3">
        <v>0</v>
      </c>
      <c r="N34" s="3">
        <v>0</v>
      </c>
      <c r="O34" s="3">
        <v>0.38461697285648699</v>
      </c>
      <c r="P34" s="3">
        <v>4</v>
      </c>
    </row>
    <row r="35" spans="1:16" x14ac:dyDescent="0.3">
      <c r="A35" t="s">
        <v>41</v>
      </c>
      <c r="B35">
        <v>1034</v>
      </c>
      <c r="C35" s="3">
        <v>16</v>
      </c>
      <c r="D35" s="3">
        <v>0</v>
      </c>
      <c r="E35" s="3">
        <v>3</v>
      </c>
      <c r="F35" s="3">
        <v>3</v>
      </c>
      <c r="G35" s="3">
        <v>15.893257847957701</v>
      </c>
      <c r="H35" s="3">
        <v>21</v>
      </c>
      <c r="I35" s="3">
        <v>0</v>
      </c>
      <c r="J35" s="3">
        <v>0</v>
      </c>
      <c r="K35" s="3">
        <v>1</v>
      </c>
      <c r="L35" s="3">
        <v>1</v>
      </c>
      <c r="M35" s="3">
        <v>0</v>
      </c>
      <c r="N35" s="3">
        <v>0</v>
      </c>
      <c r="O35" s="3">
        <v>0.94940609779728002</v>
      </c>
      <c r="P35" s="3">
        <v>4</v>
      </c>
    </row>
    <row r="36" spans="1:16" x14ac:dyDescent="0.3">
      <c r="A36" t="s">
        <v>42</v>
      </c>
      <c r="B36">
        <v>1035</v>
      </c>
      <c r="C36" s="3">
        <v>16</v>
      </c>
      <c r="D36" s="3">
        <v>0</v>
      </c>
      <c r="E36" s="3">
        <v>0</v>
      </c>
      <c r="F36" s="3">
        <v>3</v>
      </c>
      <c r="G36" s="3">
        <v>9.1263364110192402</v>
      </c>
      <c r="H36" s="3">
        <v>27</v>
      </c>
      <c r="I36" s="3">
        <v>1</v>
      </c>
      <c r="J36" s="3">
        <v>2</v>
      </c>
      <c r="K36" s="3">
        <v>1</v>
      </c>
      <c r="L36" s="3">
        <v>1</v>
      </c>
      <c r="M36" s="3">
        <v>0</v>
      </c>
      <c r="N36" s="3">
        <v>0</v>
      </c>
      <c r="O36" s="3">
        <v>1.14095941842033</v>
      </c>
      <c r="P36" s="3">
        <v>4</v>
      </c>
    </row>
    <row r="37" spans="1:16" x14ac:dyDescent="0.3">
      <c r="A37" t="s">
        <v>43</v>
      </c>
      <c r="B37">
        <v>1036</v>
      </c>
      <c r="C37" s="3">
        <v>15</v>
      </c>
      <c r="D37" s="3">
        <v>0</v>
      </c>
      <c r="E37" s="3">
        <v>3</v>
      </c>
      <c r="F37" s="3">
        <v>1</v>
      </c>
      <c r="G37" s="3">
        <v>3.4153652000667298</v>
      </c>
      <c r="H37" s="3">
        <v>23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0.26147226005075203</v>
      </c>
      <c r="P37" s="3">
        <v>4</v>
      </c>
    </row>
    <row r="38" spans="1:16" x14ac:dyDescent="0.3">
      <c r="A38" t="s">
        <v>44</v>
      </c>
      <c r="B38">
        <v>1037</v>
      </c>
      <c r="C38" s="3">
        <v>18</v>
      </c>
      <c r="D38" s="3">
        <v>0</v>
      </c>
      <c r="E38" s="3">
        <v>0</v>
      </c>
      <c r="F38" s="3">
        <v>1</v>
      </c>
      <c r="G38" s="3">
        <v>5.3441979097214798</v>
      </c>
      <c r="H38" s="3">
        <v>26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0.21828485682103099</v>
      </c>
      <c r="P38" s="3">
        <v>4</v>
      </c>
    </row>
    <row r="39" spans="1:16" x14ac:dyDescent="0.3">
      <c r="A39" t="s">
        <v>45</v>
      </c>
      <c r="B39">
        <v>1038</v>
      </c>
      <c r="C39" s="3">
        <v>15</v>
      </c>
      <c r="D39" s="3">
        <v>0</v>
      </c>
      <c r="E39" s="3">
        <v>2</v>
      </c>
      <c r="F39" s="3">
        <v>1</v>
      </c>
      <c r="G39" s="3">
        <v>10.1822677037504</v>
      </c>
      <c r="H39" s="3">
        <v>21</v>
      </c>
      <c r="I39" s="3">
        <v>1</v>
      </c>
      <c r="J39" s="3">
        <v>1</v>
      </c>
      <c r="K39" s="3">
        <v>0</v>
      </c>
      <c r="L39" s="3">
        <v>1</v>
      </c>
      <c r="M39" s="3">
        <v>0</v>
      </c>
      <c r="N39" s="3">
        <v>0</v>
      </c>
      <c r="O39" s="3">
        <v>1.0677635510419701</v>
      </c>
      <c r="P39" s="3">
        <v>4</v>
      </c>
    </row>
    <row r="40" spans="1:16" x14ac:dyDescent="0.3">
      <c r="A40" t="s">
        <v>56</v>
      </c>
      <c r="B40">
        <v>1039</v>
      </c>
      <c r="C40" s="3">
        <v>15</v>
      </c>
      <c r="D40" s="3">
        <v>1</v>
      </c>
      <c r="E40" s="3">
        <v>1</v>
      </c>
      <c r="F40" s="3">
        <v>1</v>
      </c>
      <c r="G40" s="3">
        <v>2.9490783485226899</v>
      </c>
      <c r="H40" s="3">
        <v>3</v>
      </c>
      <c r="I40" s="3">
        <v>1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3.01890585842796</v>
      </c>
      <c r="P40" s="3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F9E2-412F-402D-972E-F005CA18ABC6}">
  <dimension ref="A4:B9"/>
  <sheetViews>
    <sheetView workbookViewId="0">
      <selection activeCell="A4" sqref="A4:B9"/>
    </sheetView>
  </sheetViews>
  <sheetFormatPr defaultRowHeight="14.4" x14ac:dyDescent="0.3"/>
  <cols>
    <col min="1" max="1" width="14.109375" customWidth="1"/>
  </cols>
  <sheetData>
    <row r="4" spans="1:2" x14ac:dyDescent="0.3">
      <c r="A4" s="10" t="s">
        <v>7</v>
      </c>
      <c r="B4">
        <f>_xlfn.XLOOKUP('Project file'!$B$10,Table2[Student name],Table2[Strengths/weakness],"NA",0,1)</f>
        <v>1</v>
      </c>
    </row>
    <row r="5" spans="1:2" x14ac:dyDescent="0.3">
      <c r="A5" s="11" t="s">
        <v>46</v>
      </c>
      <c r="B5">
        <f>_xlfn.XLOOKUP('Project file'!$B$10,Mathematics!B:B,Mathematics!F:F,"NA",0,1)</f>
        <v>0</v>
      </c>
    </row>
    <row r="6" spans="1:2" x14ac:dyDescent="0.3">
      <c r="A6" s="11" t="s">
        <v>48</v>
      </c>
      <c r="B6">
        <f>_xlfn.XLOOKUP('Project file'!$B$10,Mathematics!B:B,Mathematics!F:F,"NA",0,1)</f>
        <v>0</v>
      </c>
    </row>
    <row r="7" spans="1:2" x14ac:dyDescent="0.3">
      <c r="A7" s="11" t="s">
        <v>50</v>
      </c>
      <c r="B7">
        <f>_xlfn.XLOOKUP('Project file'!$B$10,Philosophy!B:B,Philosophy!F:F,"NA",0,1)</f>
        <v>0</v>
      </c>
    </row>
    <row r="8" spans="1:2" x14ac:dyDescent="0.3">
      <c r="A8" t="s">
        <v>52</v>
      </c>
      <c r="B8">
        <f>_xlfn.XLOOKUP('Project file'!$B$10,Physics!B:B,Physics!F:F,"NA",0,1)</f>
        <v>0</v>
      </c>
    </row>
    <row r="9" spans="1:2" x14ac:dyDescent="0.3">
      <c r="A9" s="10" t="s">
        <v>54</v>
      </c>
      <c r="B9">
        <f>_xlfn.XLOOKUP('Project file'!$B$10,Sociology!B:B,Sociology!F:F,"NA",0,1)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2521-CFB9-4D66-8B72-F738855E57A8}">
  <dimension ref="A1:AB21"/>
  <sheetViews>
    <sheetView tabSelected="1" zoomScale="65" zoomScaleNormal="70" workbookViewId="0">
      <selection activeCell="B10" sqref="B10"/>
    </sheetView>
  </sheetViews>
  <sheetFormatPr defaultRowHeight="14.4" x14ac:dyDescent="0.3"/>
  <cols>
    <col min="1" max="1" width="28.5546875" style="5" customWidth="1"/>
    <col min="2" max="2" width="33.44140625" style="5" customWidth="1"/>
    <col min="3" max="3" width="9.109375" style="5"/>
    <col min="4" max="28" width="9.109375" style="25"/>
  </cols>
  <sheetData>
    <row r="1" spans="1:2" ht="60.6" thickBot="1" x14ac:dyDescent="1">
      <c r="A1" s="27" t="s">
        <v>75</v>
      </c>
      <c r="B1" s="28"/>
    </row>
    <row r="2" spans="1:2" ht="15" thickTop="1" x14ac:dyDescent="0.3"/>
    <row r="9" spans="1:2" ht="15" thickBot="1" x14ac:dyDescent="0.35"/>
    <row r="10" spans="1:2" ht="28.2" thickBot="1" x14ac:dyDescent="0.5">
      <c r="A10" s="13" t="s">
        <v>74</v>
      </c>
      <c r="B10" s="13" t="s">
        <v>10</v>
      </c>
    </row>
    <row r="12" spans="1:2" ht="15" thickBot="1" x14ac:dyDescent="0.35">
      <c r="B12" s="12"/>
    </row>
    <row r="13" spans="1:2" ht="21.6" thickTop="1" thickBot="1" x14ac:dyDescent="0.4">
      <c r="A13" s="22" t="s">
        <v>71</v>
      </c>
      <c r="B13" s="24" t="s">
        <v>72</v>
      </c>
    </row>
    <row r="14" spans="1:2" ht="21.6" thickTop="1" thickBot="1" x14ac:dyDescent="0.4">
      <c r="A14" s="14" t="s">
        <v>7</v>
      </c>
      <c r="B14" s="15">
        <f>_xlfn.XLOOKUP(B10,Table2[Student name],Table2[Exam points],"Absent",0,1)</f>
        <v>81</v>
      </c>
    </row>
    <row r="15" spans="1:2" ht="21.6" thickTop="1" thickBot="1" x14ac:dyDescent="0.4">
      <c r="A15" s="16" t="s">
        <v>46</v>
      </c>
      <c r="B15" s="17">
        <f>_xlfn.XLOOKUP(B10,Chemistry!B:B,Chemistry!E:E,"Absent",0,1)</f>
        <v>32</v>
      </c>
    </row>
    <row r="16" spans="1:2" ht="21.6" thickTop="1" thickBot="1" x14ac:dyDescent="0.4">
      <c r="A16" s="18" t="s">
        <v>48</v>
      </c>
      <c r="B16" s="17">
        <f>_xlfn.XLOOKUP(B10,Mathematics!B:B,Mathematics!E:E,"Absent",0,1)</f>
        <v>7</v>
      </c>
    </row>
    <row r="17" spans="1:2" ht="21.6" thickTop="1" thickBot="1" x14ac:dyDescent="0.4">
      <c r="A17" s="19" t="s">
        <v>50</v>
      </c>
      <c r="B17" s="20">
        <f>_xlfn.XLOOKUP(B10,Philosophy!B:B,Philosophy!E:E,"Absent",1,)</f>
        <v>29</v>
      </c>
    </row>
    <row r="18" spans="1:2" ht="21.6" thickTop="1" thickBot="1" x14ac:dyDescent="0.4">
      <c r="A18" s="21" t="s">
        <v>52</v>
      </c>
      <c r="B18" s="15">
        <f>_xlfn.XLOOKUP(B10,Physics!B:B,Physics!E:E,"Absent",0,1)</f>
        <v>33</v>
      </c>
    </row>
    <row r="19" spans="1:2" ht="21.6" thickTop="1" thickBot="1" x14ac:dyDescent="0.4">
      <c r="A19" s="18" t="s">
        <v>54</v>
      </c>
      <c r="B19" s="20">
        <f>_xlfn.XLOOKUP(B10,Sociology!B:B,Sociology!E:E,"Absent",0,1)</f>
        <v>68</v>
      </c>
    </row>
    <row r="20" spans="1:2" ht="21.6" thickTop="1" thickBot="1" x14ac:dyDescent="0.4">
      <c r="A20" s="22" t="s">
        <v>73</v>
      </c>
      <c r="B20" s="23">
        <f>SUM(B14:B19)</f>
        <v>250</v>
      </c>
    </row>
    <row r="21" spans="1:2" ht="15" thickTop="1" x14ac:dyDescent="0.3">
      <c r="B21" s="6"/>
    </row>
  </sheetData>
  <mergeCells count="1">
    <mergeCell ref="A1:B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C9FBF2-C6BA-4B79-8730-6F33EE0B558C}">
          <x14:formula1>
            <xm:f>'Additional Details'!$A$2:$A$40</xm:f>
          </x14:formula1>
          <xm:sqref>B10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BD0D1EA-206B-4B68-8F78-49D6B9DE291B}">
  <ds:schemaRefs/>
</ds:datastoreItem>
</file>

<file path=customXml/itemProps2.xml><?xml version="1.0" encoding="utf-8"?>
<ds:datastoreItem xmlns:ds="http://schemas.openxmlformats.org/officeDocument/2006/customXml" ds:itemID="{C18A690C-3E77-482E-8B95-0DF39145882E}">
  <ds:schemaRefs/>
</ds:datastoreItem>
</file>

<file path=customXml/itemProps3.xml><?xml version="1.0" encoding="utf-8"?>
<ds:datastoreItem xmlns:ds="http://schemas.openxmlformats.org/officeDocument/2006/customXml" ds:itemID="{9B29078B-0C38-4FFE-9005-50A2FEDE62BC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AF3EB0A9-E9CC-402F-80EA-DFDE653DDB4B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Biology</vt:lpstr>
      <vt:lpstr>Chemistry</vt:lpstr>
      <vt:lpstr>Mathematics</vt:lpstr>
      <vt:lpstr>Philosophy</vt:lpstr>
      <vt:lpstr>Physics</vt:lpstr>
      <vt:lpstr>Sociology</vt:lpstr>
      <vt:lpstr>Additional Details</vt:lpstr>
      <vt:lpstr>Strenght and weakness</vt:lpstr>
      <vt:lpstr>Project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Rajeshwar Jadhav</cp:lastModifiedBy>
  <dcterms:created xsi:type="dcterms:W3CDTF">2024-11-18T04:47:18Z</dcterms:created>
  <dcterms:modified xsi:type="dcterms:W3CDTF">2026-03-09T05:42:11Z</dcterms:modified>
</cp:coreProperties>
</file>